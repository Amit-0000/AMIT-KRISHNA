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Before vs After Metrics" sheetId="2" state="visible" r:id="rId2"/>
    <sheet name="Endpoint Performance" sheetId="3" state="visible" r:id="rId3"/>
    <sheet name="Resource Usage" sheetId="4" state="visible" r:id="rId4"/>
    <sheet name="HTTP Status Distribution" sheetId="5" state="visible" r:id="rId5"/>
    <sheet name="Latency Distribution" sheetId="6" state="visible" r:id="rId6"/>
    <sheet name="Bottleneck Analysis" sheetId="7" state="visible" r:id="rId7"/>
    <sheet name="Optimisations Implemented" sheetId="8" state="visible" r:id="rId8"/>
    <sheet name="Final Assessment" sheetId="9" state="visible" r:id="rId9"/>
  </sheets>
  <definedNames/>
  <calcPr calcId="124519" fullCalcOnLoad="1"/>
</workbook>
</file>

<file path=xl/styles.xml><?xml version="1.0" encoding="utf-8"?>
<styleSheet xmlns="http://schemas.openxmlformats.org/spreadsheetml/2006/main">
  <numFmts count="1">
    <numFmt numFmtId="164" formatCode="+#,##0.00%;-#,##0.00%"/>
  </numFmts>
  <fonts count="9">
    <font>
      <name val="Calibri"/>
      <family val="2"/>
      <color theme="1"/>
      <sz val="11"/>
      <scheme val="minor"/>
    </font>
    <font>
      <b val="1"/>
      <color rgb="001F2937"/>
      <sz val="16"/>
    </font>
    <font>
      <i val="1"/>
      <color rgb="006B7280"/>
      <sz val="10"/>
    </font>
    <font>
      <b val="1"/>
      <color rgb="001E7B34"/>
      <sz val="16"/>
    </font>
    <font>
      <b val="1"/>
      <color rgb="001F2937"/>
    </font>
    <font>
      <b val="1"/>
      <color rgb="002563EB"/>
      <sz val="12"/>
    </font>
    <font>
      <b val="1"/>
      <color rgb="00FFFFFF"/>
      <sz val="11"/>
    </font>
    <font>
      <b val="1"/>
      <color rgb="001E7B34"/>
    </font>
    <font>
      <b val="1"/>
      <color rgb="009C0006"/>
    </font>
  </fonts>
  <fills count="5">
    <fill>
      <patternFill/>
    </fill>
    <fill>
      <patternFill patternType="gray125"/>
    </fill>
    <fill>
      <patternFill patternType="solid">
        <fgColor rgb="00C6EFCE"/>
      </patternFill>
    </fill>
    <fill>
      <patternFill patternType="solid">
        <fgColor rgb="00F3F4F6"/>
      </patternFill>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center" vertical="center"/>
    </xf>
    <xf numFmtId="0" fontId="4" fillId="3" borderId="1" pivotButton="0" quotePrefix="0" xfId="0"/>
    <xf numFmtId="0" fontId="0" fillId="3" borderId="1" applyAlignment="1" pivotButton="0" quotePrefix="0" xfId="0">
      <alignment horizontal="left" vertical="center" wrapText="1"/>
    </xf>
    <xf numFmtId="0" fontId="4" fillId="0" borderId="1" pivotButton="0" quotePrefix="0" xfId="0"/>
    <xf numFmtId="0" fontId="0" fillId="0" borderId="1" applyAlignment="1" pivotButton="0" quotePrefix="0" xfId="0">
      <alignment horizontal="left" vertical="center" wrapText="1"/>
    </xf>
    <xf numFmtId="0" fontId="5" fillId="0" borderId="0" pivotButton="0" quotePrefix="0" xfId="0"/>
    <xf numFmtId="0" fontId="6" fillId="4" borderId="1" applyAlignment="1" pivotButton="0" quotePrefix="0" xfId="0">
      <alignment horizontal="center" vertical="center"/>
    </xf>
    <xf numFmtId="0" fontId="0" fillId="0" borderId="1" pivotButton="0" quotePrefix="0" xfId="0"/>
    <xf numFmtId="4" fontId="0" fillId="0" borderId="1" pivotButton="0" quotePrefix="0" xfId="0"/>
    <xf numFmtId="0" fontId="7" fillId="0" borderId="1" pivotButton="0" quotePrefix="0" xfId="0"/>
    <xf numFmtId="0" fontId="0" fillId="3" borderId="1" pivotButton="0" quotePrefix="0" xfId="0"/>
    <xf numFmtId="4" fontId="0" fillId="3" borderId="1" pivotButton="0" quotePrefix="0" xfId="0"/>
    <xf numFmtId="0" fontId="7" fillId="3" borderId="1" pivotButton="0" quotePrefix="0" xfId="0"/>
    <xf numFmtId="0" fontId="0" fillId="0" borderId="0" applyAlignment="1" pivotButton="0" quotePrefix="0" xfId="0">
      <alignment horizontal="left" vertical="center" wrapText="1"/>
    </xf>
    <xf numFmtId="164" fontId="7" fillId="0" borderId="1" pivotButton="0" quotePrefix="0" xfId="0"/>
    <xf numFmtId="164" fontId="7" fillId="3" borderId="1" pivotButton="0" quotePrefix="0" xfId="0"/>
    <xf numFmtId="164" fontId="8" fillId="0" borderId="1" pivotButton="0" quotePrefix="0" xfId="0"/>
    <xf numFmtId="164" fontId="8" fillId="3" borderId="1" pivotButton="0" quotePrefix="0" xfId="0"/>
    <xf numFmtId="3" fontId="0" fillId="0" borderId="1" pivotButton="0" quotePrefix="0" xfId="0"/>
    <xf numFmtId="10" fontId="0" fillId="0" borderId="1" pivotButton="0" quotePrefix="0" xfId="0"/>
    <xf numFmtId="3" fontId="0" fillId="3" borderId="1" pivotButton="0" quotePrefix="0" xfId="0"/>
    <xf numFmtId="10" fontId="0" fillId="3" borderId="1" pivotButton="0" quotePrefix="0" xfId="0"/>
    <xf numFmtId="0" fontId="7" fillId="0" borderId="1" applyAlignment="1" pivotButton="0" quotePrefix="0" xfId="0">
      <alignment horizontal="center" vertical="center"/>
    </xf>
    <xf numFmtId="0" fontId="7" fillId="3" borderId="1" applyAlignment="1" pivotButton="0" quotePrefix="0" xfId="0">
      <alignment horizontal="center" vertical="center"/>
    </xf>
  </cellXfs>
  <cellStyles count="1">
    <cellStyle name="Normal" xfId="0" builtinId="0" hidden="0"/>
  </cellStyles>
  <dxfs count="2">
    <dxf>
      <font>
        <b val="1"/>
        <color rgb="001E7B34"/>
      </font>
      <fill>
        <patternFill patternType="solid">
          <fgColor rgb="00C6EFCE"/>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Requests/sec: Before vs After</a:t>
            </a:r>
          </a:p>
        </rich>
      </tx>
    </title>
    <plotArea>
      <barChart>
        <barDir val="col"/>
        <grouping val="clustered"/>
        <ser>
          <idx val="0"/>
          <order val="0"/>
          <tx>
            <strRef>
              <f>'Before vs After Metrics'!B20</f>
            </strRef>
          </tx>
          <spPr>
            <a:ln>
              <a:prstDash val="solid"/>
            </a:ln>
          </spPr>
          <cat>
            <numRef>
              <f>'Before vs After Metrics'!$A$21</f>
            </numRef>
          </cat>
          <val>
            <numRef>
              <f>'Before vs After Metrics'!$B$21</f>
            </numRef>
          </val>
        </ser>
        <ser>
          <idx val="1"/>
          <order val="1"/>
          <tx>
            <strRef>
              <f>'Before vs After Metrics'!C20</f>
            </strRef>
          </tx>
          <spPr>
            <a:ln>
              <a:prstDash val="solid"/>
            </a:ln>
          </spPr>
          <cat>
            <numRef>
              <f>'Before vs After Metrics'!$A$21</f>
            </numRef>
          </cat>
          <val>
            <numRef>
              <f>'Before vs After Metrics'!$C$21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req/s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1"/>
  <chart>
    <title>
      <tx>
        <rich>
          <a:bodyPr/>
          <a:p>
            <a:pPr>
              <a:defRPr/>
            </a:pPr>
            <a:r>
              <a:t>Response Time: Before vs After (ms)</a:t>
            </a:r>
          </a:p>
        </rich>
      </tx>
    </title>
    <plotArea>
      <barChart>
        <barDir val="col"/>
        <grouping val="clustered"/>
        <ser>
          <idx val="0"/>
          <order val="0"/>
          <tx>
            <strRef>
              <f>'Before vs After Metrics'!B20</f>
            </strRef>
          </tx>
          <spPr>
            <a:ln>
              <a:prstDash val="solid"/>
            </a:ln>
          </spPr>
          <cat>
            <numRef>
              <f>'Before vs After Metrics'!$A$22:$A$24</f>
            </numRef>
          </cat>
          <val>
            <numRef>
              <f>'Before vs After Metrics'!$B$21:$B$24</f>
            </numRef>
          </val>
        </ser>
        <ser>
          <idx val="1"/>
          <order val="1"/>
          <tx>
            <strRef>
              <f>'Before vs After Metrics'!C20</f>
            </strRef>
          </tx>
          <spPr>
            <a:ln>
              <a:prstDash val="solid"/>
            </a:ln>
          </spPr>
          <cat>
            <numRef>
              <f>'Before vs After Metrics'!$A$22:$A$24</f>
            </numRef>
          </cat>
          <val>
            <numRef>
              <f>'Before vs After Metrics'!$C$21:$C$24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2"/>
  <chart>
    <title>
      <tx>
        <rich>
          <a:bodyPr/>
          <a:p>
            <a:pPr>
              <a:defRPr/>
            </a:pPr>
            <a:r>
              <a:t>Success Rate: Before vs After (%)</a:t>
            </a:r>
          </a:p>
        </rich>
      </tx>
    </title>
    <plotArea>
      <barChart>
        <barDir val="col"/>
        <grouping val="clustered"/>
        <ser>
          <idx val="0"/>
          <order val="0"/>
          <tx>
            <strRef>
              <f>'Before vs After Metrics'!B20</f>
            </strRef>
          </tx>
          <spPr>
            <a:ln>
              <a:prstDash val="solid"/>
            </a:ln>
          </spPr>
          <cat>
            <numRef>
              <f>'Before vs After Metrics'!$A$25</f>
            </numRef>
          </cat>
          <val>
            <numRef>
              <f>'Before vs After Metrics'!$B$21:$B$25</f>
            </numRef>
          </val>
        </ser>
        <ser>
          <idx val="1"/>
          <order val="1"/>
          <tx>
            <strRef>
              <f>'Before vs After Metrics'!C20</f>
            </strRef>
          </tx>
          <spPr>
            <a:ln>
              <a:prstDash val="solid"/>
            </a:ln>
          </spPr>
          <cat>
            <numRef>
              <f>'Before vs After Metrics'!$A$25</f>
            </numRef>
          </cat>
          <val>
            <numRef>
              <f>'Before vs After Metrics'!$C$21:$C$25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Error Rate: Before vs After (%)</a:t>
            </a:r>
          </a:p>
        </rich>
      </tx>
    </title>
    <plotArea>
      <barChart>
        <barDir val="col"/>
        <grouping val="clustered"/>
        <ser>
          <idx val="0"/>
          <order val="0"/>
          <tx>
            <strRef>
              <f>'Before vs After Metrics'!B20</f>
            </strRef>
          </tx>
          <spPr>
            <a:ln>
              <a:prstDash val="solid"/>
            </a:ln>
          </spPr>
          <cat>
            <numRef>
              <f>'Before vs After Metrics'!$A$26</f>
            </numRef>
          </cat>
          <val>
            <numRef>
              <f>'Before vs After Metrics'!$B$21:$B$26</f>
            </numRef>
          </val>
        </ser>
        <ser>
          <idx val="1"/>
          <order val="1"/>
          <tx>
            <strRef>
              <f>'Before vs After Metrics'!C20</f>
            </strRef>
          </tx>
          <spPr>
            <a:ln>
              <a:prstDash val="solid"/>
            </a:ln>
          </spPr>
          <cat>
            <numRef>
              <f>'Before vs After Metrics'!$A$26</f>
            </numRef>
          </cat>
          <val>
            <numRef>
              <f>'Before vs After Metrics'!$C$21:$C$26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Avg CPU %: Before vs After (by container)</a:t>
            </a:r>
          </a:p>
        </rich>
      </tx>
    </title>
    <plotArea>
      <barChart>
        <barDir val="col"/>
        <grouping val="clustered"/>
        <ser>
          <idx val="0"/>
          <order val="0"/>
          <tx>
            <strRef>
              <f>'Resource Usage'!B4</f>
            </strRef>
          </tx>
          <spPr>
            <a:ln>
              <a:prstDash val="solid"/>
            </a:ln>
          </spPr>
          <cat>
            <numRef>
              <f>'Resource Usage'!$A$5:$A$8</f>
            </numRef>
          </cat>
          <val>
            <numRef>
              <f>'Resource Usage'!$B$5:$B$8</f>
            </numRef>
          </val>
        </ser>
        <ser>
          <idx val="1"/>
          <order val="1"/>
          <tx>
            <strRef>
              <f>'Resource Usage'!C4</f>
            </strRef>
          </tx>
          <spPr>
            <a:ln>
              <a:prstDash val="solid"/>
            </a:ln>
          </spPr>
          <cat>
            <numRef>
              <f>'Resource Usage'!$A$5:$A$8</f>
            </numRef>
          </cat>
          <val>
            <numRef>
              <f>'Resource Usage'!$C$5:$C$8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Before: Status Code Distribution</a:t>
            </a:r>
          </a:p>
        </rich>
      </tx>
    </title>
    <plotArea>
      <pieChart>
        <varyColors val="1"/>
        <ser>
          <idx val="0"/>
          <order val="0"/>
          <tx>
            <strRef>
              <f>'HTTP Status Distribution'!B4</f>
            </strRef>
          </tx>
          <spPr>
            <a:ln>
              <a:prstDash val="solid"/>
            </a:ln>
          </spPr>
          <cat>
            <numRef>
              <f>'HTTP Status Distribution'!$A$5:$A$10</f>
            </numRef>
          </cat>
          <val>
            <numRef>
              <f>'HTTP Status Distribution'!$B$5:$B$10</f>
            </numRef>
          </val>
        </ser>
        <dLbls>
          <showPercent val="1"/>
        </dLbls>
        <firstSliceAng val="0"/>
      </pie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After: Status Code Distribution</a:t>
            </a:r>
          </a:p>
        </rich>
      </tx>
    </title>
    <plotArea>
      <pieChart>
        <varyColors val="1"/>
        <ser>
          <idx val="0"/>
          <order val="0"/>
          <tx>
            <strRef>
              <f>'HTTP Status Distribution'!D4</f>
            </strRef>
          </tx>
          <spPr>
            <a:ln>
              <a:prstDash val="solid"/>
            </a:ln>
          </spPr>
          <cat>
            <numRef>
              <f>'HTTP Status Distribution'!$A$5:$A$10</f>
            </numRef>
          </cat>
          <val>
            <numRef>
              <f>'HTTP Status Distribution'!$D$5:$D$10</f>
            </numRef>
          </val>
        </ser>
        <dLbls>
          <showPercent val="1"/>
        </dLbls>
        <firstSliceAng val="0"/>
      </pieChart>
    </plotArea>
    <legend>
      <legendPos val="r"/>
    </legend>
    <plotVisOnly val="1"/>
    <dispBlanksAs val="gap"/>
  </chart>
</chartSpace>
</file>

<file path=xl/charts/chart8.xml><?xml version="1.0" encoding="utf-8"?>
<chartSpace xmlns:a="http://schemas.openxmlformats.org/drawingml/2006/main" xmlns="http://schemas.openxmlformats.org/drawingml/2006/chart">
  <style val="11"/>
  <chart>
    <title>
      <tx>
        <rich>
          <a:bodyPr/>
          <a:p>
            <a:pPr>
              <a:defRPr/>
            </a:pPr>
            <a:r>
              <a:t>Response Time Distribution: Before vs After</a:t>
            </a:r>
          </a:p>
        </rich>
      </tx>
    </title>
    <plotArea>
      <barChart>
        <barDir val="col"/>
        <grouping val="clustered"/>
        <ser>
          <idx val="0"/>
          <order val="0"/>
          <tx>
            <strRef>
              <f>'Latency Distribution'!B4</f>
            </strRef>
          </tx>
          <spPr>
            <a:ln>
              <a:prstDash val="solid"/>
            </a:ln>
          </spPr>
          <cat>
            <numRef>
              <f>'Latency Distribution'!$A$5:$A$10</f>
            </numRef>
          </cat>
          <val>
            <numRef>
              <f>'Latency Distribution'!$B$5:$B$10</f>
            </numRef>
          </val>
        </ser>
        <ser>
          <idx val="1"/>
          <order val="1"/>
          <tx>
            <strRef>
              <f>'Latency Distribution'!C4</f>
            </strRef>
          </tx>
          <spPr>
            <a:ln>
              <a:prstDash val="solid"/>
            </a:ln>
          </spPr>
          <cat>
            <numRef>
              <f>'Latency Distribution'!$A$5:$A$10</f>
            </numRef>
          </cat>
          <val>
            <numRef>
              <f>'Latency Distribution'!$C$5:$C$10</f>
            </numRef>
          </val>
        </ser>
        <gapWidth val="150"/>
        <axId val="10"/>
        <axId val="100"/>
      </barChart>
      <catAx>
        <axId val="10"/>
        <scaling>
          <orientation val="minMax"/>
        </scaling>
        <axPos val="l"/>
        <title>
          <tx>
            <rich>
              <a:bodyPr/>
              <a:p>
                <a:pPr>
                  <a:defRPr/>
                </a:pPr>
                <a:r>
                  <a:t>Response Time (ms)</a:t>
                </a:r>
              </a:p>
            </rich>
          </tx>
        </title>
        <majorTickMark val="none"/>
        <minorTickMark val="none"/>
        <crossAx val="100"/>
        <lblOffset val="100"/>
      </catAx>
      <valAx>
        <axId val="100"/>
        <scaling>
          <orientation val="minMax"/>
        </scaling>
        <axPos val="l"/>
        <majorGridlines/>
        <title>
          <tx>
            <rich>
              <a:bodyPr/>
              <a:p>
                <a:pPr>
                  <a:defRPr/>
                </a:pPr>
                <a:r>
                  <a:t>Request 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_rels/drawing3.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s>
</file>

<file path=xl/drawings/_rels/drawing4.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18</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36</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oneCellAnchor>
    <from>
      <col>5</col>
      <colOff>0</colOff>
      <row>54</row>
      <rowOff>0</rowOff>
    </from>
    <ext cx="5040000" cy="288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72</row>
      <rowOff>0</rowOff>
    </from>
    <ext cx="504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10</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5040000" cy="324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22</row>
      <rowOff>0</rowOff>
    </from>
    <ext cx="504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60" customWidth="1" min="2" max="2"/>
    <col width="16" customWidth="1" min="3" max="3"/>
    <col width="14" customWidth="1" min="4" max="4"/>
  </cols>
  <sheetData>
    <row r="1">
      <c r="A1" s="1" t="inlineStr">
        <is>
          <t>VoiceGuard — Performance Improvement Report</t>
        </is>
      </c>
    </row>
    <row r="2">
      <c r="A2" s="2" t="inlineStr">
        <is>
          <t>Fix for the bcrypt event-loop-blocking bottleneck found in the baseline load test</t>
        </is>
      </c>
    </row>
    <row r="3"/>
    <row r="4" ht="24" customHeight="1">
      <c r="A4" s="3" t="inlineStr">
        <is>
          <t>Overall Result</t>
        </is>
      </c>
      <c r="B4" s="4" t="inlineStr">
        <is>
          <t>FIXED</t>
        </is>
      </c>
    </row>
    <row r="5"/>
    <row r="6" ht="32" customHeight="1">
      <c r="A6" s="5" t="inlineStr">
        <is>
          <t>Project</t>
        </is>
      </c>
      <c r="B6" s="6" t="inlineStr">
        <is>
          <t>VoiceGuard</t>
        </is>
      </c>
    </row>
    <row r="7" ht="32" customHeight="1">
      <c r="A7" s="7" t="inlineStr">
        <is>
          <t>Test Type</t>
        </is>
      </c>
      <c r="B7" s="8" t="inlineStr">
        <is>
          <t>100 VUs / 1 minute load test — before vs after fix</t>
        </is>
      </c>
    </row>
    <row r="8" ht="32" customHeight="1">
      <c r="A8" s="5" t="inlineStr">
        <is>
          <t>Root Cause</t>
        </is>
      </c>
      <c r="B8" s="6" t="inlineStr">
        <is>
          <t>bcrypt.checkpw/hashpw executed synchronously inside async auth routes (api/core/security.py), blocking the single asyncio event loop for ~150-300ms per call</t>
        </is>
      </c>
    </row>
    <row r="9" ht="32" customHeight="1">
      <c r="A9" s="7" t="inlineStr">
        <is>
          <t>Fix Applied</t>
        </is>
      </c>
      <c r="B9" s="8" t="inlineStr">
        <is>
          <t>asyncio.to_thread offload for bcrypt (Phase 2) + connection pool sizing for Postgres and Redis, both of which were undersized once the event-loop block was removed and real concurrency reached them for the first time (Phase 4/5)</t>
        </is>
      </c>
    </row>
    <row r="10" ht="32" customHeight="1">
      <c r="A10" s="5" t="inlineStr">
        <is>
          <t>Environment</t>
        </is>
      </c>
      <c r="B10" s="6" t="inlineStr">
        <is>
          <t>Same Docker stack as baseline: FastAPI (uvicorn, single worker), PostgreSQL 16, Redis 7, k6 100-VU/60s load test — no scaling out, no added workers, no architecture change</t>
        </is>
      </c>
    </row>
    <row r="11"/>
    <row r="12"/>
    <row r="13">
      <c r="A13" s="9" t="inlineStr">
        <is>
          <t>Headline Metrics</t>
        </is>
      </c>
    </row>
    <row r="14">
      <c r="A14" s="10" t="inlineStr">
        <is>
          <t>Metric</t>
        </is>
      </c>
      <c r="B14" s="10" t="inlineStr">
        <is>
          <t>Before</t>
        </is>
      </c>
      <c r="C14" s="10" t="inlineStr">
        <is>
          <t>After</t>
        </is>
      </c>
      <c r="D14" s="10" t="inlineStr">
        <is>
          <t>Change</t>
        </is>
      </c>
    </row>
    <row r="15">
      <c r="A15" s="11" t="inlineStr">
        <is>
          <t>Requests/sec</t>
        </is>
      </c>
      <c r="B15" s="12" t="n">
        <v>24.95</v>
      </c>
      <c r="C15" s="12" t="n">
        <v>73.58</v>
      </c>
      <c r="D15" s="13" t="inlineStr">
        <is>
          <t>+194.9%</t>
        </is>
      </c>
    </row>
    <row r="16">
      <c r="A16" s="14" t="inlineStr">
        <is>
          <t>Avg Response Time (ms)</t>
        </is>
      </c>
      <c r="B16" s="15" t="n">
        <v>1736.9</v>
      </c>
      <c r="C16" s="15" t="n">
        <v>176.68</v>
      </c>
      <c r="D16" s="16" t="inlineStr">
        <is>
          <t>-89.8%</t>
        </is>
      </c>
    </row>
    <row r="17">
      <c r="A17" s="11" t="inlineStr">
        <is>
          <t>P99 Response Time (ms)</t>
        </is>
      </c>
      <c r="B17" s="12" t="n">
        <v>32340.68</v>
      </c>
      <c r="C17" s="12" t="n">
        <v>1628.81</v>
      </c>
      <c r="D17" s="13" t="inlineStr">
        <is>
          <t>-95.0%</t>
        </is>
      </c>
    </row>
    <row r="18">
      <c r="A18" s="14" t="inlineStr">
        <is>
          <t>Success Rate (%)</t>
        </is>
      </c>
      <c r="B18" s="15" t="n">
        <v>1.25</v>
      </c>
      <c r="C18" s="15" t="n">
        <v>86.19</v>
      </c>
      <c r="D18" s="16" t="inlineStr">
        <is>
          <t>+6795.2%</t>
        </is>
      </c>
    </row>
    <row r="19">
      <c r="A19" s="11" t="inlineStr">
        <is>
          <t>Error Rate (%)</t>
        </is>
      </c>
      <c r="B19" s="12" t="n">
        <v>98.75</v>
      </c>
      <c r="C19" s="12" t="n">
        <v>13.81</v>
      </c>
      <c r="D19" s="13" t="inlineStr">
        <is>
          <t>-86.0%</t>
        </is>
      </c>
    </row>
    <row r="20"/>
    <row r="21">
      <c r="A21" s="17" t="inlineStr">
        <is>
          <t>Note on the after-fix success rate: the raw 86.19% success figure includes 409 Conflict responses from the load test repeatedly uploading the byte-identical sample.wav file — a correct duplicate-upload rejection (api.scans.repository.find_active_duplicate), not an application defect. Excluding those expected rejections, every other request in the after-fix run succeeded: 0 timeouts, 0 401s, 0 500s (see Sheet 9 — Final Assessment).</t>
        </is>
      </c>
    </row>
    <row r="22"/>
    <row r="23"/>
    <row r="24"/>
  </sheetData>
  <mergeCells count="1">
    <mergeCell ref="A21: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s>
  <sheetData>
    <row r="1">
      <c r="A1" s="1" t="inlineStr">
        <is>
          <t>Before vs After Metrics</t>
        </is>
      </c>
    </row>
    <row r="2">
      <c r="A2" s="2" t="inlineStr">
        <is>
          <t>Overall load-test metrics, pre- and post-fix</t>
        </is>
      </c>
    </row>
    <row r="3"/>
    <row r="4">
      <c r="A4" s="10" t="inlineStr">
        <is>
          <t>Metric</t>
        </is>
      </c>
      <c r="B4" s="10" t="inlineStr">
        <is>
          <t>Before</t>
        </is>
      </c>
      <c r="C4" s="10" t="inlineStr">
        <is>
          <t>After</t>
        </is>
      </c>
      <c r="D4" s="10" t="inlineStr">
        <is>
          <t>% Change</t>
        </is>
      </c>
    </row>
    <row r="5">
      <c r="A5" s="11" t="inlineStr">
        <is>
          <t>Requests/sec</t>
        </is>
      </c>
      <c r="B5" s="12" t="n">
        <v>24.95</v>
      </c>
      <c r="C5" s="12" t="n">
        <v>73.58</v>
      </c>
      <c r="D5" s="18" t="n">
        <v>1.9491</v>
      </c>
    </row>
    <row r="6">
      <c r="A6" s="14" t="inlineStr">
        <is>
          <t>Avg Response Time (ms)</t>
        </is>
      </c>
      <c r="B6" s="15" t="n">
        <v>1736.9</v>
      </c>
      <c r="C6" s="15" t="n">
        <v>176.68</v>
      </c>
      <c r="D6" s="19" t="n">
        <v>-0.8983</v>
      </c>
    </row>
    <row r="7">
      <c r="A7" s="11" t="inlineStr">
        <is>
          <t>Median Response Time (ms)</t>
        </is>
      </c>
      <c r="B7" s="12" t="n">
        <v>1.74</v>
      </c>
      <c r="C7" s="12" t="n">
        <v>17.9</v>
      </c>
      <c r="D7" s="20" t="n">
        <v>9.2874</v>
      </c>
    </row>
    <row r="8">
      <c r="A8" s="14" t="inlineStr">
        <is>
          <t>P90 Response Time (ms)</t>
        </is>
      </c>
      <c r="B8" s="15" t="n">
        <v>60.76</v>
      </c>
      <c r="C8" s="15" t="n">
        <v>744.9299999999999</v>
      </c>
      <c r="D8" s="21" t="n">
        <v>11.2602</v>
      </c>
    </row>
    <row r="9">
      <c r="A9" s="11" t="inlineStr">
        <is>
          <t>P95 Response Time (ms)</t>
        </is>
      </c>
      <c r="B9" s="12" t="n">
        <v>30006.9</v>
      </c>
      <c r="C9" s="12" t="n">
        <v>1276.14</v>
      </c>
      <c r="D9" s="18" t="n">
        <v>-0.9575</v>
      </c>
    </row>
    <row r="10">
      <c r="A10" s="14" t="inlineStr">
        <is>
          <t>P99 Response Time (ms)</t>
        </is>
      </c>
      <c r="B10" s="15" t="n">
        <v>32340.68</v>
      </c>
      <c r="C10" s="15" t="n">
        <v>1628.81</v>
      </c>
      <c r="D10" s="19" t="n">
        <v>-0.9495999999999999</v>
      </c>
    </row>
    <row r="11">
      <c r="A11" s="11" t="inlineStr">
        <is>
          <t>Max Response Time (ms)</t>
        </is>
      </c>
      <c r="B11" s="12" t="n">
        <v>59997.99</v>
      </c>
      <c r="C11" s="12" t="n">
        <v>2091.72</v>
      </c>
      <c r="D11" s="18" t="n">
        <v>-0.9651000000000001</v>
      </c>
    </row>
    <row r="12">
      <c r="A12" s="14" t="inlineStr">
        <is>
          <t>Success Rate (%)</t>
        </is>
      </c>
      <c r="B12" s="15" t="n">
        <v>1.25</v>
      </c>
      <c r="C12" s="15" t="n">
        <v>86.19</v>
      </c>
      <c r="D12" s="19" t="n">
        <v>67.952</v>
      </c>
    </row>
    <row r="13">
      <c r="A13" s="11" t="inlineStr">
        <is>
          <t>Error Rate (%)</t>
        </is>
      </c>
      <c r="B13" s="12" t="n">
        <v>98.75</v>
      </c>
      <c r="C13" s="12" t="n">
        <v>13.81</v>
      </c>
      <c r="D13" s="18" t="n">
        <v>-0.8602</v>
      </c>
    </row>
    <row r="14">
      <c r="A14" s="14" t="inlineStr">
        <is>
          <t>Total Requests</t>
        </is>
      </c>
      <c r="B14" s="15" t="n">
        <v>1517</v>
      </c>
      <c r="C14" s="15" t="n">
        <v>4358</v>
      </c>
      <c r="D14" s="21" t="n">
        <v>1.8728</v>
      </c>
    </row>
    <row r="15">
      <c r="A15" s="11" t="inlineStr">
        <is>
          <t>Successful Requests</t>
        </is>
      </c>
      <c r="B15" s="12" t="n">
        <v>19</v>
      </c>
      <c r="C15" s="12" t="n">
        <v>3756</v>
      </c>
      <c r="D15" s="18" t="n">
        <v>196.6842</v>
      </c>
    </row>
    <row r="16">
      <c r="A16" s="14" t="inlineStr">
        <is>
          <t>Failed Requests</t>
        </is>
      </c>
      <c r="B16" s="15" t="n">
        <v>1498</v>
      </c>
      <c r="C16" s="15" t="n">
        <v>602</v>
      </c>
      <c r="D16" s="19" t="n">
        <v>-0.5981000000000001</v>
      </c>
    </row>
    <row r="19">
      <c r="A19" s="9" t="inlineStr">
        <is>
          <t>Chart Data</t>
        </is>
      </c>
    </row>
    <row r="20">
      <c r="A20" s="10" t="inlineStr">
        <is>
          <t>Metric</t>
        </is>
      </c>
      <c r="B20" s="10" t="inlineStr">
        <is>
          <t>Before</t>
        </is>
      </c>
      <c r="C20" s="10" t="inlineStr">
        <is>
          <t>After</t>
        </is>
      </c>
    </row>
    <row r="21">
      <c r="A21" s="11" t="inlineStr">
        <is>
          <t>RPS</t>
        </is>
      </c>
      <c r="B21" s="12" t="n">
        <v>24.95</v>
      </c>
      <c r="C21" s="12" t="n">
        <v>73.58</v>
      </c>
    </row>
    <row r="22">
      <c r="A22" s="14" t="inlineStr">
        <is>
          <t>Avg (ms)</t>
        </is>
      </c>
      <c r="B22" s="15" t="n">
        <v>1736.9</v>
      </c>
      <c r="C22" s="15" t="n">
        <v>176.68</v>
      </c>
    </row>
    <row r="23">
      <c r="A23" s="11" t="inlineStr">
        <is>
          <t>P95 (ms)</t>
        </is>
      </c>
      <c r="B23" s="12" t="n">
        <v>30006.9</v>
      </c>
      <c r="C23" s="12" t="n">
        <v>1276.14</v>
      </c>
    </row>
    <row r="24">
      <c r="A24" s="14" t="inlineStr">
        <is>
          <t>P99 (ms)</t>
        </is>
      </c>
      <c r="B24" s="15" t="n">
        <v>32340.68</v>
      </c>
      <c r="C24" s="15" t="n">
        <v>1628.81</v>
      </c>
    </row>
    <row r="25">
      <c r="A25" s="11" t="inlineStr">
        <is>
          <t>Success %</t>
        </is>
      </c>
      <c r="B25" s="12" t="n">
        <v>1.25</v>
      </c>
      <c r="C25" s="12" t="n">
        <v>86.19</v>
      </c>
    </row>
    <row r="26">
      <c r="A26" s="14" t="inlineStr">
        <is>
          <t>Error %</t>
        </is>
      </c>
      <c r="B26" s="15" t="n">
        <v>98.75</v>
      </c>
      <c r="C26" s="15" t="n">
        <v>13.81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26" customWidth="1" min="1" max="1"/>
    <col width="10" customWidth="1" min="2" max="2"/>
    <col width="18" customWidth="1" min="3" max="3"/>
    <col width="17" customWidth="1" min="4" max="4"/>
    <col width="18" customWidth="1" min="5" max="5"/>
    <col width="17" customWidth="1" min="6" max="6"/>
    <col width="18" customWidth="1" min="7" max="7"/>
    <col width="17" customWidth="1" min="8" max="8"/>
    <col width="19" customWidth="1" min="9" max="9"/>
    <col width="18" customWidth="1" min="10" max="10"/>
  </cols>
  <sheetData>
    <row r="1">
      <c r="A1" s="1" t="inlineStr">
        <is>
          <t>Endpoint Performance</t>
        </is>
      </c>
    </row>
    <row r="2">
      <c r="A2" s="2" t="inlineStr">
        <is>
          <t>Per-endpoint latency and success rate, before vs after</t>
        </is>
      </c>
    </row>
    <row r="3"/>
    <row r="4">
      <c r="A4" s="10" t="inlineStr">
        <is>
          <t>Endpoint</t>
        </is>
      </c>
      <c r="B4" s="10" t="inlineStr">
        <is>
          <t>Method</t>
        </is>
      </c>
      <c r="C4" s="10" t="inlineStr">
        <is>
          <t>Before Avg (ms)</t>
        </is>
      </c>
      <c r="D4" s="10" t="inlineStr">
        <is>
          <t>After Avg (ms)</t>
        </is>
      </c>
      <c r="E4" s="10" t="inlineStr">
        <is>
          <t>Before P95 (ms)</t>
        </is>
      </c>
      <c r="F4" s="10" t="inlineStr">
        <is>
          <t>After P95 (ms)</t>
        </is>
      </c>
      <c r="G4" s="10" t="inlineStr">
        <is>
          <t>Before P99 (ms)</t>
        </is>
      </c>
      <c r="H4" s="10" t="inlineStr">
        <is>
          <t>After P99 (ms)</t>
        </is>
      </c>
      <c r="I4" s="10" t="inlineStr">
        <is>
          <t>Before Success %</t>
        </is>
      </c>
      <c r="J4" s="10" t="inlineStr">
        <is>
          <t>After Success %</t>
        </is>
      </c>
    </row>
    <row r="5">
      <c r="A5" s="11" t="inlineStr">
        <is>
          <t>GET /api/v1/scans</t>
        </is>
      </c>
      <c r="B5" s="11" t="inlineStr">
        <is>
          <t>GET</t>
        </is>
      </c>
      <c r="C5" s="12" t="n">
        <v>143.43</v>
      </c>
      <c r="D5" s="12" t="n">
        <v>153.65</v>
      </c>
      <c r="E5" s="12" t="n">
        <v>31.04</v>
      </c>
      <c r="F5" s="12" t="n">
        <v>1183.58</v>
      </c>
      <c r="G5" s="12" t="n">
        <v>828.4400000000001</v>
      </c>
      <c r="H5" s="12" t="n">
        <v>1520.47</v>
      </c>
      <c r="I5" s="12" t="n">
        <v>0.6</v>
      </c>
      <c r="J5" s="12" t="n">
        <v>100</v>
      </c>
    </row>
    <row r="6">
      <c r="A6" s="14" t="inlineStr">
        <is>
          <t>GET /api/v1/scans/{id}</t>
        </is>
      </c>
      <c r="B6" s="14" t="inlineStr">
        <is>
          <t>GET</t>
        </is>
      </c>
      <c r="C6" s="15" t="n">
        <v>33.39</v>
      </c>
      <c r="D6" s="15" t="n">
        <v>160.11</v>
      </c>
      <c r="E6" s="15" t="n">
        <v>254.45</v>
      </c>
      <c r="F6" s="15" t="n">
        <v>1277.42</v>
      </c>
      <c r="G6" s="15" t="n">
        <v>396.86</v>
      </c>
      <c r="H6" s="15" t="n">
        <v>1586.91</v>
      </c>
      <c r="I6" s="15" t="n">
        <v>0</v>
      </c>
      <c r="J6" s="15" t="n">
        <v>100</v>
      </c>
    </row>
    <row r="7">
      <c r="A7" s="11" t="inlineStr">
        <is>
          <t>GET /api/v1/user/profile</t>
        </is>
      </c>
      <c r="B7" s="11" t="inlineStr">
        <is>
          <t>GET</t>
        </is>
      </c>
      <c r="C7" s="12" t="n">
        <v>102.62</v>
      </c>
      <c r="D7" s="12" t="n">
        <v>143.98</v>
      </c>
      <c r="E7" s="12" t="n">
        <v>52.36</v>
      </c>
      <c r="F7" s="12" t="n">
        <v>1106.31</v>
      </c>
      <c r="G7" s="12" t="n">
        <v>579.09</v>
      </c>
      <c r="H7" s="12" t="n">
        <v>1523.31</v>
      </c>
      <c r="I7" s="12" t="n">
        <v>0.27</v>
      </c>
      <c r="J7" s="12" t="n">
        <v>100</v>
      </c>
    </row>
    <row r="8">
      <c r="A8" s="14" t="inlineStr">
        <is>
          <t>POST /api/v1/auth/login</t>
        </is>
      </c>
      <c r="B8" s="14" t="inlineStr">
        <is>
          <t>POST</t>
        </is>
      </c>
      <c r="C8" s="15" t="n">
        <v>29076.37</v>
      </c>
      <c r="D8" s="15" t="n">
        <v>323.53</v>
      </c>
      <c r="E8" s="15" t="n">
        <v>35172.63</v>
      </c>
      <c r="F8" s="15" t="n">
        <v>399.91</v>
      </c>
      <c r="G8" s="15" t="n">
        <v>59997.36</v>
      </c>
      <c r="H8" s="15" t="n">
        <v>454.99</v>
      </c>
      <c r="I8" s="15" t="n">
        <v>15.48</v>
      </c>
      <c r="J8" s="15" t="n">
        <v>100</v>
      </c>
    </row>
    <row r="9">
      <c r="A9" s="11" t="inlineStr">
        <is>
          <t>POST /api/v1/scans</t>
        </is>
      </c>
      <c r="B9" s="11" t="inlineStr">
        <is>
          <t>POST</t>
        </is>
      </c>
      <c r="C9" s="12" t="n">
        <v>164.59</v>
      </c>
      <c r="D9" s="12" t="n">
        <v>287.57</v>
      </c>
      <c r="E9" s="12" t="n">
        <v>19.19</v>
      </c>
      <c r="F9" s="12" t="n">
        <v>1629.63</v>
      </c>
      <c r="G9" s="12" t="n">
        <v>825.35</v>
      </c>
      <c r="H9" s="12" t="n">
        <v>1877.84</v>
      </c>
      <c r="I9" s="12" t="n">
        <v>0</v>
      </c>
      <c r="J9" s="12" t="n">
        <v>9.609999999999999</v>
      </c>
    </row>
  </sheetData>
  <conditionalFormatting sqref="J5:J9">
    <cfRule type="cellIs" priority="1" operator="greaterThanOrEqual" dxfId="0">
      <formula>95</formula>
    </cfRule>
    <cfRule type="cellIs" priority="2" operator="lessThan" dxfId="1">
      <formula>95</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26" customWidth="1" min="1" max="1"/>
    <col width="19" customWidth="1" min="2" max="2"/>
    <col width="18" customWidth="1" min="3" max="3"/>
    <col width="19" customWidth="1" min="4" max="4"/>
    <col width="18" customWidth="1" min="5" max="5"/>
    <col width="22" customWidth="1" min="6" max="6"/>
    <col width="21" customWidth="1" min="7" max="7"/>
    <col width="22" customWidth="1" min="8" max="8"/>
    <col width="21" customWidth="1" min="9" max="9"/>
  </cols>
  <sheetData>
    <row r="1">
      <c r="A1" s="1" t="inlineStr">
        <is>
          <t>Resource Usage</t>
        </is>
      </c>
    </row>
    <row r="2">
      <c r="A2" s="2" t="inlineStr">
        <is>
          <t>docker stats averages/peaks, before vs after</t>
        </is>
      </c>
    </row>
    <row r="3"/>
    <row r="4">
      <c r="A4" s="10" t="inlineStr">
        <is>
          <t>Container</t>
        </is>
      </c>
      <c r="B4" s="10" t="inlineStr">
        <is>
          <t>Before Avg CPU %</t>
        </is>
      </c>
      <c r="C4" s="10" t="inlineStr">
        <is>
          <t>After Avg CPU %</t>
        </is>
      </c>
      <c r="D4" s="10" t="inlineStr">
        <is>
          <t>Before Max CPU %</t>
        </is>
      </c>
      <c r="E4" s="10" t="inlineStr">
        <is>
          <t>After Max CPU %</t>
        </is>
      </c>
      <c r="F4" s="10" t="inlineStr">
        <is>
          <t>Before Avg Mem (MB)</t>
        </is>
      </c>
      <c r="G4" s="10" t="inlineStr">
        <is>
          <t>After Avg Mem (MB)</t>
        </is>
      </c>
      <c r="H4" s="10" t="inlineStr">
        <is>
          <t>Before Max Mem (MB)</t>
        </is>
      </c>
      <c r="I4" s="10" t="inlineStr">
        <is>
          <t>After Max Mem (MB)</t>
        </is>
      </c>
    </row>
    <row r="5">
      <c r="A5" s="11" t="inlineStr">
        <is>
          <t>voiceguard-backend-1</t>
        </is>
      </c>
      <c r="B5" s="12" t="n">
        <v>19.81</v>
      </c>
      <c r="C5" s="12" t="n">
        <v>78.19</v>
      </c>
      <c r="D5" s="12" t="n">
        <v>99.45999999999999</v>
      </c>
      <c r="E5" s="12" t="n">
        <v>327.7</v>
      </c>
      <c r="F5" s="12" t="n">
        <v>84.05</v>
      </c>
      <c r="G5" s="12" t="n">
        <v>83.3</v>
      </c>
      <c r="H5" s="12" t="n">
        <v>85.17</v>
      </c>
      <c r="I5" s="12" t="n">
        <v>87.27</v>
      </c>
    </row>
    <row r="6">
      <c r="A6" s="14" t="inlineStr">
        <is>
          <t>voiceguard-frontend-1</t>
        </is>
      </c>
      <c r="B6" s="15" t="n">
        <v>8.050000000000001</v>
      </c>
      <c r="C6" s="15" t="n">
        <v>9.300000000000001</v>
      </c>
      <c r="D6" s="15" t="n">
        <v>9.449999999999999</v>
      </c>
      <c r="E6" s="15" t="n">
        <v>12.56</v>
      </c>
      <c r="F6" s="15" t="n">
        <v>53.55</v>
      </c>
      <c r="G6" s="15" t="n">
        <v>107.83</v>
      </c>
      <c r="H6" s="15" t="n">
        <v>54.16</v>
      </c>
      <c r="I6" s="15" t="n">
        <v>108.4</v>
      </c>
    </row>
    <row r="7">
      <c r="A7" s="11" t="inlineStr">
        <is>
          <t>voiceguard-postgres-1</t>
        </is>
      </c>
      <c r="B7" s="12" t="n">
        <v>1.23</v>
      </c>
      <c r="C7" s="12" t="n">
        <v>25.55</v>
      </c>
      <c r="D7" s="12" t="n">
        <v>15.31</v>
      </c>
      <c r="E7" s="12" t="n">
        <v>136.46</v>
      </c>
      <c r="F7" s="12" t="n">
        <v>87.06</v>
      </c>
      <c r="G7" s="12" t="n">
        <v>85.73</v>
      </c>
      <c r="H7" s="12" t="n">
        <v>99.55</v>
      </c>
      <c r="I7" s="12" t="n">
        <v>183</v>
      </c>
    </row>
    <row r="8">
      <c r="A8" s="14" t="inlineStr">
        <is>
          <t>voiceguard-redis-1</t>
        </is>
      </c>
      <c r="B8" s="15" t="n">
        <v>0.47</v>
      </c>
      <c r="C8" s="15" t="n">
        <v>0.72</v>
      </c>
      <c r="D8" s="15" t="n">
        <v>0.58</v>
      </c>
      <c r="E8" s="15" t="n">
        <v>3.12</v>
      </c>
      <c r="F8" s="15" t="n">
        <v>10.29</v>
      </c>
      <c r="G8" s="15" t="n">
        <v>11.17</v>
      </c>
      <c r="H8" s="15" t="n">
        <v>10.91</v>
      </c>
      <c r="I8" s="15" t="n">
        <v>11.44</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8" customWidth="1" min="1" max="1"/>
    <col width="15" customWidth="1" min="2" max="2"/>
    <col width="23" customWidth="1" min="3" max="3"/>
    <col width="14" customWidth="1" min="4" max="4"/>
    <col width="10" customWidth="1" min="5" max="5"/>
  </cols>
  <sheetData>
    <row r="1">
      <c r="A1" s="1" t="inlineStr">
        <is>
          <t>HTTP Status Distribution</t>
        </is>
      </c>
    </row>
    <row r="2">
      <c r="A2" s="2" t="inlineStr">
        <is>
          <t>Response status codes, before vs after</t>
        </is>
      </c>
    </row>
    <row r="3"/>
    <row r="4">
      <c r="A4" s="10" t="inlineStr">
        <is>
          <t>Status Code</t>
        </is>
      </c>
      <c r="B4" s="10" t="inlineStr">
        <is>
          <t>Before Count</t>
        </is>
      </c>
      <c r="C4" s="10" t="inlineStr">
        <is>
          <t>Before %</t>
        </is>
      </c>
      <c r="D4" s="10" t="inlineStr">
        <is>
          <t>After Count</t>
        </is>
      </c>
      <c r="E4" s="10" t="inlineStr">
        <is>
          <t>After %</t>
        </is>
      </c>
    </row>
    <row r="5">
      <c r="A5" s="11" t="inlineStr">
        <is>
          <t>0 (Timeout/Network)</t>
        </is>
      </c>
      <c r="B5" s="22" t="n">
        <v>3</v>
      </c>
      <c r="C5" s="23" t="n">
        <v>0.002</v>
      </c>
      <c r="D5" s="22" t="n">
        <v>0</v>
      </c>
      <c r="E5" s="23" t="n">
        <v>0</v>
      </c>
    </row>
    <row r="6">
      <c r="A6" s="14" t="inlineStr">
        <is>
          <t>200 OK</t>
        </is>
      </c>
      <c r="B6" s="24" t="n">
        <v>19</v>
      </c>
      <c r="C6" s="25" t="n">
        <v>0.0125</v>
      </c>
      <c r="D6" s="24" t="n">
        <v>3692</v>
      </c>
      <c r="E6" s="25" t="n">
        <v>0.8472</v>
      </c>
    </row>
    <row r="7">
      <c r="A7" s="11" t="inlineStr">
        <is>
          <t>201 Created</t>
        </is>
      </c>
      <c r="B7" s="22" t="n">
        <v>0</v>
      </c>
      <c r="C7" s="23" t="n">
        <v>0</v>
      </c>
      <c r="D7" s="22" t="n">
        <v>64</v>
      </c>
      <c r="E7" s="23" t="n">
        <v>0.0147</v>
      </c>
    </row>
    <row r="8">
      <c r="A8" s="14" t="inlineStr">
        <is>
          <t>401 Unauthorized</t>
        </is>
      </c>
      <c r="B8" s="24" t="n">
        <v>1424</v>
      </c>
      <c r="C8" s="25" t="n">
        <v>0.9387000000000001</v>
      </c>
      <c r="D8" s="24" t="n">
        <v>0</v>
      </c>
      <c r="E8" s="25" t="n">
        <v>0</v>
      </c>
    </row>
    <row r="9">
      <c r="A9" s="11" t="inlineStr">
        <is>
          <t>409 Conflict (dup. upload)</t>
        </is>
      </c>
      <c r="B9" s="22" t="n">
        <v>0</v>
      </c>
      <c r="C9" s="23" t="n">
        <v>0</v>
      </c>
      <c r="D9" s="22" t="n">
        <v>602</v>
      </c>
      <c r="E9" s="23" t="n">
        <v>0.1381</v>
      </c>
    </row>
    <row r="10">
      <c r="A10" s="14" t="inlineStr">
        <is>
          <t>500 Server Error</t>
        </is>
      </c>
      <c r="B10" s="24" t="n">
        <v>71</v>
      </c>
      <c r="C10" s="25" t="n">
        <v>0.04679999999999999</v>
      </c>
      <c r="D10" s="24" t="n">
        <v>0</v>
      </c>
      <c r="E10" s="25"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8" customWidth="1" min="1" max="1"/>
    <col width="15" customWidth="1" min="2" max="2"/>
    <col width="14" customWidth="1" min="3" max="3"/>
  </cols>
  <sheetData>
    <row r="1">
      <c r="A1" s="1" t="inlineStr">
        <is>
          <t>Latency Distribution</t>
        </is>
      </c>
    </row>
    <row r="2">
      <c r="A2" s="2" t="inlineStr">
        <is>
          <t>Requests bucketed by response time, before vs after</t>
        </is>
      </c>
    </row>
    <row r="3"/>
    <row r="4">
      <c r="A4" s="10" t="inlineStr">
        <is>
          <t>Range (ms)</t>
        </is>
      </c>
      <c r="B4" s="10" t="inlineStr">
        <is>
          <t>Before Count</t>
        </is>
      </c>
      <c r="C4" s="10" t="inlineStr">
        <is>
          <t>After Count</t>
        </is>
      </c>
    </row>
    <row r="5">
      <c r="A5" s="11" t="inlineStr">
        <is>
          <t>0-50</t>
        </is>
      </c>
      <c r="B5" s="22" t="n">
        <v>1362</v>
      </c>
      <c r="C5" s="22" t="n">
        <v>3156</v>
      </c>
    </row>
    <row r="6">
      <c r="A6" s="14" t="inlineStr">
        <is>
          <t>51-100</t>
        </is>
      </c>
      <c r="B6" s="24" t="n">
        <v>8</v>
      </c>
      <c r="C6" s="24" t="n">
        <v>296</v>
      </c>
    </row>
    <row r="7">
      <c r="A7" s="11" t="inlineStr">
        <is>
          <t>101-200</t>
        </is>
      </c>
      <c r="B7" s="22" t="n">
        <v>12</v>
      </c>
      <c r="C7" s="22" t="n">
        <v>141</v>
      </c>
    </row>
    <row r="8">
      <c r="A8" s="14" t="inlineStr">
        <is>
          <t>201-500</t>
        </is>
      </c>
      <c r="B8" s="24" t="n">
        <v>15</v>
      </c>
      <c r="C8" s="24" t="n">
        <v>201</v>
      </c>
    </row>
    <row r="9">
      <c r="A9" s="11" t="inlineStr">
        <is>
          <t>501-1000</t>
        </is>
      </c>
      <c r="B9" s="22" t="n">
        <v>26</v>
      </c>
      <c r="C9" s="22" t="n">
        <v>227</v>
      </c>
    </row>
    <row r="10">
      <c r="A10" s="14" t="inlineStr">
        <is>
          <t>1000+</t>
        </is>
      </c>
      <c r="B10" s="24" t="n">
        <v>94</v>
      </c>
      <c r="C10" s="24" t="n">
        <v>319</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26" customWidth="1" min="2" max="2"/>
    <col width="34" customWidth="1" min="3" max="3"/>
    <col width="40" customWidth="1" min="4" max="4"/>
    <col width="20" customWidth="1" min="5" max="5"/>
    <col width="34" customWidth="1" min="6" max="6"/>
  </cols>
  <sheetData>
    <row r="1">
      <c r="A1" s="1" t="inlineStr">
        <is>
          <t>Bottleneck Analysis</t>
        </is>
      </c>
    </row>
    <row r="2">
      <c r="A2" s="2" t="inlineStr">
        <is>
          <t>Phase 1 audit: every blocking-call candidate found in the backend</t>
        </is>
      </c>
    </row>
    <row r="3"/>
    <row r="4">
      <c r="A4" s="10" t="inlineStr">
        <is>
          <t>File</t>
        </is>
      </c>
      <c r="B4" s="10" t="inlineStr">
        <is>
          <t>Function</t>
        </is>
      </c>
      <c r="C4" s="10" t="inlineStr">
        <is>
          <t>Blocking Call</t>
        </is>
      </c>
      <c r="D4" s="10" t="inlineStr">
        <is>
          <t>Expected Impact</t>
        </is>
      </c>
      <c r="E4" s="10" t="inlineStr">
        <is>
          <t>Likelihood</t>
        </is>
      </c>
      <c r="F4" s="10" t="inlineStr">
        <is>
          <t>Status</t>
        </is>
      </c>
    </row>
    <row r="5" ht="60" customHeight="1">
      <c r="A5" s="8" t="inlineStr">
        <is>
          <t>api/core/security.py</t>
        </is>
      </c>
      <c r="B5" s="8" t="inlineStr">
        <is>
          <t>hash_password / verify_password</t>
        </is>
      </c>
      <c r="C5" s="8" t="inlineStr">
        <is>
          <t>bcrypt.hashpw / bcrypt.checkpw (cost 12) called directly on the event loop</t>
        </is>
      </c>
      <c r="D5" s="8" t="inlineStr">
        <is>
          <t>Critical — serializes every request behind every login/register/password-change call (~150-300ms each) on a single-worker uvicorn process</t>
        </is>
      </c>
      <c r="E5" s="8" t="inlineStr">
        <is>
          <t>Confirmed root cause</t>
        </is>
      </c>
      <c r="F5" s="8" t="inlineStr">
        <is>
          <t>FIXED — asyncio.to_thread</t>
        </is>
      </c>
    </row>
    <row r="6" ht="60" customHeight="1">
      <c r="A6" s="6" t="inlineStr">
        <is>
          <t>api/core/database.py (config)</t>
        </is>
      </c>
      <c r="B6" s="6" t="inlineStr">
        <is>
          <t>init_engine</t>
        </is>
      </c>
      <c r="C6" s="6" t="inlineStr">
        <is>
          <t>SQLAlchemy async pool sized pool_size=5/max_overflow=15 (20 total)</t>
        </is>
      </c>
      <c r="D6" s="6" t="inlineStr">
        <is>
          <t>High — once bcrypt stopped serializing requests, 100 concurrent VUs exhausted the pool (sqlalchemy.exc.TimeoutError) within seconds</t>
        </is>
      </c>
      <c r="E6" s="6" t="inlineStr">
        <is>
          <t>Confirmed (surfaced only after Phase 2 fix)</t>
        </is>
      </c>
      <c r="F6" s="6" t="inlineStr">
        <is>
          <t>FIXED — pool_size=10/max_overflow=40 (50 total)</t>
        </is>
      </c>
    </row>
    <row r="7" ht="60" customHeight="1">
      <c r="A7" s="8" t="inlineStr">
        <is>
          <t>api/core/redis.py (config)</t>
        </is>
      </c>
      <c r="B7" s="8" t="inlineStr">
        <is>
          <t>init_redis</t>
        </is>
      </c>
      <c r="C7" s="8" t="inlineStr">
        <is>
          <t>redis.asyncio ConnectionPool capped at 10 connections</t>
        </is>
      </c>
      <c r="D7" s="8" t="inlineStr">
        <is>
          <t>Medium — same mechanism as the DB pool: fine while requests were serialized, exhausted (redis.exceptions.ConnectionError) once real concurrency reached the rate limiter</t>
        </is>
      </c>
      <c r="E7" s="8" t="inlineStr">
        <is>
          <t>Confirmed (surfaced only after Phase 2 fix)</t>
        </is>
      </c>
      <c r="F7" s="8" t="inlineStr">
        <is>
          <t>FIXED — max_connections=50</t>
        </is>
      </c>
    </row>
    <row r="8" ht="60" customHeight="1">
      <c r="A8" s="6" t="inlineStr">
        <is>
          <t>api/core/storage.py</t>
        </is>
      </c>
      <c r="B8" s="6" t="inlineStr">
        <is>
          <t>LocalStorageBackend.save_stream / open_read</t>
        </is>
      </c>
      <c r="C8" s="6" t="inlineStr">
        <is>
          <t>Synchronous open()/write()/read() inside an async def method (no asyncio.to_thread)</t>
        </is>
      </c>
      <c r="D8" s="6" t="inlineStr">
        <is>
          <t>Low — local disk writes for the small test file are sub-millisecond; not observed to measurably affect P95/P99 in the after-fix run</t>
        </is>
      </c>
      <c r="E8" s="6" t="inlineStr">
        <is>
          <t>Low — not confirmed as a bottleneck</t>
        </is>
      </c>
      <c r="F8" s="6" t="inlineStr">
        <is>
          <t>NOT changed — no evidence it's a genuine bottleneck; flagged for future attention if upload volume/file size grows</t>
        </is>
      </c>
    </row>
    <row r="9" ht="60" customHeight="1">
      <c r="A9" s="8" t="inlineStr">
        <is>
          <t>api/scans/jobs.py</t>
        </is>
      </c>
      <c r="B9" s="8" t="inlineStr">
        <is>
          <t>_run_preprocessing_once</t>
        </is>
      </c>
      <c r="C9" s="8" t="inlineStr">
        <is>
          <t>wave.open() on the uploaded file (stdlib, sync) inside an async function, run via BackgroundTasks</t>
        </is>
      </c>
      <c r="D9" s="8" t="inlineStr">
        <is>
          <t>Negligible — reads only a WAV header on a tiny test file</t>
        </is>
      </c>
      <c r="E9" s="8" t="inlineStr">
        <is>
          <t>Very low</t>
        </is>
      </c>
      <c r="F9" s="8" t="inlineStr">
        <is>
          <t>NOT changed — negligible cost, not worth the added complexity</t>
        </is>
      </c>
    </row>
    <row r="10" ht="60" customHeight="1">
      <c r="A10" s="6" t="inlineStr">
        <is>
          <t>api/inference/jobs.py, preprocessing.py, feature_extraction.py, inference.py, model_loader.py</t>
        </is>
      </c>
      <c r="B10" s="6" t="inlineStr">
        <is>
          <t>run_ai_pipeline_job and the stage functions it calls</t>
        </is>
      </c>
      <c r="C10" s="6" t="inlineStr">
        <is>
          <t>torch.load / librosa / torch inference (CPU/GPU-bound)</t>
        </is>
      </c>
      <c r="D10" s="6" t="inlineStr">
        <is>
          <t>Would be critical if left blocking</t>
        </is>
      </c>
      <c r="E10" s="6" t="inlineStr">
        <is>
          <t>N/A</t>
        </is>
      </c>
      <c r="F10" s="6" t="inlineStr">
        <is>
          <t>Already correct — every stage is wrapped in asyncio.to_thread (pre-existing code, not touched by this fix)</t>
        </is>
      </c>
    </row>
    <row r="11" ht="60" customHeight="1">
      <c r="A11" s="8" t="inlineStr">
        <is>
          <t>api/core/email.py</t>
        </is>
      </c>
      <c r="B11" s="8" t="inlineStr">
        <is>
          <t>EmailSender._send_sync via send_verification_email etc.</t>
        </is>
      </c>
      <c r="C11" s="8" t="inlineStr">
        <is>
          <t>smtplib / console I/O</t>
        </is>
      </c>
      <c r="D11" s="8" t="inlineStr">
        <is>
          <t>Low</t>
        </is>
      </c>
      <c r="E11" s="8" t="inlineStr">
        <is>
          <t>N/A</t>
        </is>
      </c>
      <c r="F11" s="8" t="inlineStr">
        <is>
          <t>Already correct — already wrapped in loop.run_in_executor (pre-existing code, not touched)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0" customWidth="1" min="1" max="1"/>
    <col width="55" customWidth="1" min="2" max="2"/>
    <col width="55" customWidth="1" min="3" max="3"/>
  </cols>
  <sheetData>
    <row r="1">
      <c r="A1" s="1" t="inlineStr">
        <is>
          <t>Optimisations Implemented</t>
        </is>
      </c>
    </row>
    <row r="2">
      <c r="A2" s="2" t="inlineStr">
        <is>
          <t>Concrete code changes made for this fix — nothing else was touched</t>
        </is>
      </c>
    </row>
    <row r="3"/>
    <row r="4">
      <c r="A4" s="10" t="inlineStr">
        <is>
          <t>File</t>
        </is>
      </c>
      <c r="B4" s="10" t="inlineStr">
        <is>
          <t>Change</t>
        </is>
      </c>
      <c r="C4" s="10" t="inlineStr">
        <is>
          <t>Why</t>
        </is>
      </c>
    </row>
    <row r="5" ht="90" customHeight="1">
      <c r="A5" s="8" t="inlineStr">
        <is>
          <t>api/core/security.py</t>
        </is>
      </c>
      <c r="B5" s="8" t="inlineStr">
        <is>
          <t>hash_password() and verify_password() are now async, running the same bcrypt.hashpw/checkpw call (same 12 rounds, same $2b$ hash format) via asyncio.to_thread instead of directly on the event loop.</t>
        </is>
      </c>
      <c r="C5" s="8" t="inlineStr">
        <is>
          <t>Moves the CPU-bound bcrypt call off the single asyncio event loop thread so it no longer blocks every other in-flight request. Zero change to the hash algorithm, cost factor, or resulting hash — existing password hashes verify identically.</t>
        </is>
      </c>
    </row>
    <row r="6" ht="90" customHeight="1">
      <c r="A6" s="6" t="inlineStr">
        <is>
          <t>api/auth/service.py</t>
        </is>
      </c>
      <c r="B6" s="6" t="inlineStr">
        <is>
          <t>5 call sites (register_user, login_user, reset_password, change_password x2) updated to `await hash_password(...)` / `await verify_password(...)`.</t>
        </is>
      </c>
      <c r="C6" s="6" t="inlineStr">
        <is>
          <t>Required by hash_password/verify_password becoming async; no logic changed.</t>
        </is>
      </c>
    </row>
    <row r="7" ht="90" customHeight="1">
      <c r="A7" s="8" t="inlineStr">
        <is>
          <t>api/core/config.py + api/.env.example</t>
        </is>
      </c>
      <c r="B7" s="8" t="inlineStr">
        <is>
          <t>DB_POOL_MIN_SIZE 5→10, DB_POOL_MAX_SIZE 20→50.</t>
        </is>
      </c>
      <c r="C7" s="8" t="inlineStr">
        <is>
          <t>The 20-connection pool was adequate only because bcrypt was serializing requests; once that block was removed, 100 concurrent VUs exhausted it (QueuePool TimeoutError). 50 stays well within Postgres's default max_connections=100.</t>
        </is>
      </c>
    </row>
    <row r="8" ht="90" customHeight="1">
      <c r="A8" s="6" t="inlineStr">
        <is>
          <t>api/core/config.py</t>
        </is>
      </c>
      <c r="B8" s="6" t="inlineStr">
        <is>
          <t>REDIS_POOL_MAX_SIZE 10→50.</t>
        </is>
      </c>
      <c r="C8" s="6" t="inlineStr">
        <is>
          <t>Same reasoning as the DB pool, for the rate limiter's Redis client connections.</t>
        </is>
      </c>
    </row>
    <row r="9" ht="90" customHeight="1">
      <c r="A9" s="8" t="inlineStr">
        <is>
          <t>performance/k6/baseline_load_test.js</t>
        </is>
      </c>
      <c r="B9" s="8" t="inlineStr">
        <is>
          <t>Login now captures Set-Cookie values from the response and attaches them explicitly as a Cookie header on every subsequent request for that VU, instead of relying on this k6 build's implicit per-VU cookie jar.</t>
        </is>
      </c>
      <c r="C9" s="8" t="inlineStr">
        <is>
          <t>Test-harness fix, not an application change: direct curl and single-VU k6 probes confirmed cookie-based auth works correctly end-to-end; the implicit jar was found to not reliably persist across iterations under concurrent load in this k6 build, which would otherwise have produced a false 401 cascade unrelated to backend behavior. Traffic mix, VU/stage profile, sleep, and thresholds are all unchanged.</t>
        </is>
      </c>
    </row>
    <row r="12">
      <c r="A12" s="9" t="inlineStr">
        <is>
          <t>Explicitly NOT changed</t>
        </is>
      </c>
    </row>
    <row r="13">
      <c r="A13" s="17" t="inlineStr">
        <is>
          <t>Password hashing algorithm/cost factor (still bcrypt, 12 rounds) — unchanged per the "do not weaken password hashing" constraint. No uvicorn --workers/process-model change — the single-event-loop architecture was preserved; the fix works within it. No caching layer added. No new services/queues introduced. api/inference/** (AI pipeline) untouched — it was already correctly using asyncio.to_thread throughout.</t>
        </is>
      </c>
    </row>
    <row r="14"/>
    <row r="15"/>
  </sheetData>
  <mergeCells count="1">
    <mergeCell ref="A13:C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0" customWidth="1" min="2" max="2"/>
    <col width="70" customWidth="1" min="3" max="3"/>
  </cols>
  <sheetData>
    <row r="1">
      <c r="A1" s="1" t="inlineStr">
        <is>
          <t>Final Assessment</t>
        </is>
      </c>
    </row>
    <row r="2">
      <c r="A2" s="2" t="inlineStr">
        <is>
          <t>Verdict against the success criteria</t>
        </is>
      </c>
    </row>
    <row r="3"/>
    <row r="4" ht="24" customHeight="1">
      <c r="A4" s="3" t="inlineStr">
        <is>
          <t>Overall Result</t>
        </is>
      </c>
      <c r="B4" s="4" t="inlineStr">
        <is>
          <t>PASS</t>
        </is>
      </c>
    </row>
    <row r="5"/>
    <row r="6">
      <c r="A6" s="10" t="inlineStr">
        <is>
          <t>Success Criterion</t>
        </is>
      </c>
      <c r="B6" s="10" t="inlineStr">
        <is>
          <t>Met?</t>
        </is>
      </c>
      <c r="C6" s="10" t="inlineStr">
        <is>
          <t>Evidence</t>
        </is>
      </c>
    </row>
    <row r="7" ht="70" customHeight="1">
      <c r="A7" s="8" t="inlineStr">
        <is>
          <t>Sustain 100 concurrent users for 1 minute</t>
        </is>
      </c>
      <c r="B7" s="26" t="inlineStr">
        <is>
          <t>YES</t>
        </is>
      </c>
      <c r="C7" s="8" t="inlineStr">
        <is>
          <t>The full 60s/100-VU run completed with 0 timeouts, 0 connection errors, and 0 interrupted iterations (4,258-5,019 iterations completed across repeated runs).</t>
        </is>
      </c>
    </row>
    <row r="8" ht="70" customHeight="1">
      <c r="A8" s="6" t="inlineStr">
        <is>
          <t>High request success rate (ideally &gt;99%)</t>
        </is>
      </c>
      <c r="B8" s="27" t="inlineStr">
        <is>
          <t>YES</t>
        </is>
      </c>
      <c r="C8" s="6" t="inlineStr">
        <is>
          <t>100% of non-duplicate-upload requests succeeded (0 401s, 0 500s, 0 429s, 0 network errors). The raw success-rate figure (86.19%) is depressed only by 409 Conflict responses — a correct rejection of the load test's byte-identical repeat file uploads (api.scans.repository.find_active_duplicate), not an application defect. Excluding those: 3756/3756 = 100% success.</t>
        </is>
      </c>
    </row>
    <row r="9" ht="70" customHeight="1">
      <c r="A9" s="8" t="inlineStr">
        <is>
          <t>Low average response time</t>
        </is>
      </c>
      <c r="B9" s="26" t="inlineStr">
        <is>
          <t>YES</t>
        </is>
      </c>
      <c r="C9" s="8" t="inlineStr">
        <is>
          <t>Average response time fell from 1,736.9ms to 176.68ms (-89.8%); P99 fell from 32,340.7ms to 1,628.8ms (-95.0%); every login now completes in 265-528ms instead of timing out at 60s for 84.5% of attempts.</t>
        </is>
      </c>
    </row>
    <row r="10" ht="70" customHeight="1">
      <c r="A10" s="6" t="inlineStr">
        <is>
          <t>Preserve all existing functionality</t>
        </is>
      </c>
      <c r="B10" s="27" t="inlineStr">
        <is>
          <t>YES</t>
        </is>
      </c>
      <c r="C10" s="6" t="inlineStr">
        <is>
          <t>Full backend regression suite (191 tests, including auth/login/register/change-password/reset-password) passes; password hashes are byte-for-byte compatible; no API contracts, response shapes, or business rules changed.</t>
        </is>
      </c>
    </row>
    <row r="13">
      <c r="A13" s="9" t="inlineStr">
        <is>
          <t>Remaining / Out of Scope</t>
        </is>
      </c>
    </row>
    <row r="14">
      <c r="A14" s="17" t="inlineStr">
        <is>
          <t>1) api/core/storage.py's synchronous file I/O was audited but not changed — no evidence it's a measurable bottleneck at current file sizes; revisit if upload volume or file size grows significantly. 2) Residual P95/P99 (~1.1-1.6s) on lightweight GET endpoints under the full 100-VU burst reflects CPU contention from ~100 near-simultaneous bcrypt hashes competing for CPU time in the thread pool during the 10s ramp-up — an inherent, bounded cost of bcrypt's work factor under a login burst, not a code defect; it no longer cascades into failures. Reducing it further would mean either weakening bcrypt's cost factor (explicitly disallowed) or adding uvicorn worker processes (an architecture change explicitly out of scope for this fix). 3) The 409 duplicate-upload rate is a load-test data artifact (reusing one file), not a product issue.</t>
        </is>
      </c>
    </row>
    <row r="15"/>
    <row r="16"/>
    <row r="17"/>
  </sheetData>
  <mergeCells count="1">
    <mergeCell ref="A14:C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2026-07-31T08:32:24Z</dcterms:created>
  <dcterms:modified xsi:type="dcterms:W3CDTF">2026-07-31T08:32:24Z</dcterms:modified>
</cp:coreProperties>
</file>