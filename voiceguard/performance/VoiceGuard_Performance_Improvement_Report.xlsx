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Performance Comparison" sheetId="2" state="visible" r:id="rId2"/>
    <sheet name="Before vs After Metrics" sheetId="3" state="visible" r:id="rId3"/>
    <sheet name="Endpoint Performance" sheetId="4" state="visible" r:id="rId4"/>
    <sheet name="HTTP Status Codes" sheetId="5" state="visible" r:id="rId5"/>
    <sheet name="Resource Usage" sheetId="6" state="visible" r:id="rId6"/>
    <sheet name="Bottleneck Analysis" sheetId="7" state="visible" r:id="rId7"/>
    <sheet name="Optimizations Implemented" sheetId="8" state="visible" r:id="rId8"/>
    <sheet name="Regression Testing" sheetId="9" state="visible" r:id="rId9"/>
    <sheet name="Charts" sheetId="10" state="visible" r:id="rId10"/>
    <sheet name="Final Assessmen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.00%;-#,##0.00%"/>
  </numFmts>
  <fonts count="9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1E7B34"/>
      <sz val="16"/>
    </font>
    <font>
      <b val="1"/>
      <color rgb="001F2937"/>
    </font>
    <font>
      <b val="1"/>
      <color rgb="002563EB"/>
      <sz val="12"/>
    </font>
    <font>
      <b val="1"/>
      <color rgb="00FFFFFF"/>
      <sz val="11"/>
    </font>
    <font>
      <b val="1"/>
      <color rgb="001E7B34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3F4F6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1" pivotButton="0" quotePrefix="0" xfId="0"/>
    <xf numFmtId="0" fontId="0" fillId="3" borderId="1" applyAlignment="1" pivotButton="0" quotePrefix="0" xfId="0">
      <alignment horizontal="left" vertical="center" wrapText="1"/>
    </xf>
    <xf numFmtId="0" fontId="4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7" fillId="0" borderId="1" pivotButton="0" quotePrefix="0" xfId="0"/>
    <xf numFmtId="0" fontId="0" fillId="3" borderId="1" pivotButton="0" quotePrefix="0" xfId="0"/>
    <xf numFmtId="0" fontId="7" fillId="3" borderId="1" pivotButton="0" quotePrefix="0" xfId="0"/>
    <xf numFmtId="0" fontId="0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4" fontId="0" fillId="0" borderId="1" pivotButton="0" quotePrefix="0" xfId="0"/>
    <xf numFmtId="4" fontId="0" fillId="3" borderId="1" pivotButton="0" quotePrefix="0" xfId="0"/>
    <xf numFmtId="164" fontId="7" fillId="0" borderId="1" pivotButton="0" quotePrefix="0" xfId="0"/>
    <xf numFmtId="164" fontId="7" fillId="3" borderId="1" pivotButton="0" quotePrefix="0" xfId="0"/>
    <xf numFmtId="164" fontId="8" fillId="0" borderId="1" pivotButton="0" quotePrefix="0" xfId="0"/>
    <xf numFmtId="164" fontId="8" fillId="3" borderId="1" pivotButton="0" quotePrefix="0" xfId="0"/>
    <xf numFmtId="3" fontId="0" fillId="0" borderId="1" pivotButton="0" quotePrefix="0" xfId="0"/>
    <xf numFmtId="10" fontId="0" fillId="0" borderId="1" pivotButton="0" quotePrefix="0" xfId="0"/>
    <xf numFmtId="3" fontId="0" fillId="3" borderId="1" pivotButton="0" quotePrefix="0" xfId="0"/>
    <xf numFmtId="10" fontId="0" fillId="3" borderId="1" pivotButton="0" quotePrefix="0" xfId="0"/>
    <xf numFmtId="0" fontId="0" fillId="0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b val="1"/>
        <color rgb="001E7B34"/>
      </font>
      <fill>
        <patternFill patternType="solid">
          <fgColor rgb="00C6EFCE"/>
        </patternFill>
      </fill>
    </dxf>
    <dxf>
      <font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Before vs After Response Time (ms)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'Performance Comparison'!B14</f>
            </strRef>
          </tx>
          <spPr>
            <a:ln>
              <a:prstDash val="solid"/>
            </a:ln>
          </spPr>
          <cat>
            <numRef>
              <f>'Performance Comparison'!$A$15:$A$17</f>
            </numRef>
          </cat>
          <val>
            <numRef>
              <f>'Performance Comparison'!$B$15:$B$17</f>
            </numRef>
          </val>
        </ser>
        <ser>
          <idx val="1"/>
          <order val="1"/>
          <tx>
            <strRef>
              <f>'Performance Comparison'!C14</f>
            </strRef>
          </tx>
          <spPr>
            <a:ln>
              <a:prstDash val="solid"/>
            </a:ln>
          </spPr>
          <cat>
            <numRef>
              <f>'Performance Comparison'!$A$15:$A$17</f>
            </numRef>
          </cat>
          <val>
            <numRef>
              <f>'Performance Comparison'!$C$15:$C$17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Before vs After Success Rate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'Performance Comparison'!B14</f>
            </strRef>
          </tx>
          <spPr>
            <a:ln>
              <a:prstDash val="solid"/>
            </a:ln>
          </spPr>
          <cat>
            <numRef>
              <f>'Performance Comparison'!$A$18</f>
            </numRef>
          </cat>
          <val>
            <numRef>
              <f>'Performance Comparison'!$B$15:$B$18</f>
            </numRef>
          </val>
        </ser>
        <ser>
          <idx val="1"/>
          <order val="1"/>
          <tx>
            <strRef>
              <f>'Performance Comparison'!C14</f>
            </strRef>
          </tx>
          <spPr>
            <a:ln>
              <a:prstDash val="solid"/>
            </a:ln>
          </spPr>
          <cat>
            <numRef>
              <f>'Performance Comparison'!$A$18</f>
            </numRef>
          </cat>
          <val>
            <numRef>
              <f>'Performance Comparison'!$C$15:$C$18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Before: Status Code Distribution</a:t>
            </a:r>
          </a:p>
        </rich>
      </tx>
    </title>
    <plotArea>
      <pieChart>
        <varyColors val="1"/>
        <ser>
          <idx val="0"/>
          <order val="0"/>
          <tx>
            <strRef>
              <f>'HTTP Status Codes'!B4</f>
            </strRef>
          </tx>
          <spPr>
            <a:ln>
              <a:prstDash val="solid"/>
            </a:ln>
          </spPr>
          <cat>
            <numRef>
              <f>'HTTP Status Codes'!$A$5:$A$10</f>
            </numRef>
          </cat>
          <val>
            <numRef>
              <f>'HTTP Status Codes'!$B$5:$B$10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After: Status Code Distribution</a:t>
            </a:r>
          </a:p>
        </rich>
      </tx>
    </title>
    <plotArea>
      <pieChart>
        <varyColors val="1"/>
        <ser>
          <idx val="0"/>
          <order val="0"/>
          <tx>
            <strRef>
              <f>'HTTP Status Codes'!D4</f>
            </strRef>
          </tx>
          <spPr>
            <a:ln>
              <a:prstDash val="solid"/>
            </a:ln>
          </spPr>
          <cat>
            <numRef>
              <f>'HTTP Status Codes'!$A$5:$A$10</f>
            </numRef>
          </cat>
          <val>
            <numRef>
              <f>'HTTP Status Codes'!$D$5:$D$10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HTTP Error Counts: Before vs After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'HTTP Status Codes'!B14</f>
            </strRef>
          </tx>
          <spPr>
            <a:ln>
              <a:prstDash val="solid"/>
            </a:ln>
          </spPr>
          <cat>
            <numRef>
              <f>'HTTP Status Codes'!$A$15:$A$16</f>
            </numRef>
          </cat>
          <val>
            <numRef>
              <f>'HTTP Status Codes'!$B$15:$B$16</f>
            </numRef>
          </val>
        </ser>
        <ser>
          <idx val="1"/>
          <order val="1"/>
          <tx>
            <strRef>
              <f>'HTTP Status Codes'!C14</f>
            </strRef>
          </tx>
          <spPr>
            <a:ln>
              <a:prstDash val="solid"/>
            </a:ln>
          </spPr>
          <cat>
            <numRef>
              <f>'HTTP Status Codes'!$A$15:$A$16</f>
            </numRef>
          </cat>
          <val>
            <numRef>
              <f>'HTTP Status Codes'!$C$15:$C$16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Avg CPU %: Before vs After (by container)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'Resource Usage'!B4</f>
            </strRef>
          </tx>
          <spPr>
            <a:ln>
              <a:prstDash val="solid"/>
            </a:ln>
          </spPr>
          <cat>
            <numRef>
              <f>'Resource Usage'!$A$5:$A$8</f>
            </numRef>
          </cat>
          <val>
            <numRef>
              <f>'Resource Usage'!$B$5:$B$8</f>
            </numRef>
          </val>
        </ser>
        <ser>
          <idx val="1"/>
          <order val="1"/>
          <tx>
            <strRef>
              <f>'Resource Usage'!C4</f>
            </strRef>
          </tx>
          <spPr>
            <a:ln>
              <a:prstDash val="solid"/>
            </a:ln>
          </spPr>
          <cat>
            <numRef>
              <f>'Resource Usage'!$A$5:$A$8</f>
            </numRef>
          </cat>
          <val>
            <numRef>
              <f>'Resource Usage'!$C$5:$C$8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CPU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Success Rate: Before vs After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'Charts'!B4</f>
            </strRef>
          </tx>
          <spPr>
            <a:ln>
              <a:prstDash val="solid"/>
            </a:ln>
          </spPr>
          <cat>
            <numRef>
              <f>'Charts'!$A$5</f>
            </numRef>
          </cat>
          <val>
            <numRef>
              <f>'Charts'!$B$5</f>
            </numRef>
          </val>
        </ser>
        <ser>
          <idx val="1"/>
          <order val="1"/>
          <tx>
            <strRef>
              <f>'Charts'!C4</f>
            </strRef>
          </tx>
          <spPr>
            <a:ln>
              <a:prstDash val="solid"/>
            </a:ln>
          </spPr>
          <cat>
            <numRef>
              <f>'Charts'!$A$5</f>
            </numRef>
          </cat>
          <val>
            <numRef>
              <f>'Charts'!$C$5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Average Response Time: Before vs After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'Charts'!B4</f>
            </strRef>
          </tx>
          <spPr>
            <a:ln>
              <a:prstDash val="solid"/>
            </a:ln>
          </spPr>
          <cat>
            <numRef>
              <f>'Charts'!$A$6</f>
            </numRef>
          </cat>
          <val>
            <numRef>
              <f>'Charts'!$B$5:$B$6</f>
            </numRef>
          </val>
        </ser>
        <ser>
          <idx val="1"/>
          <order val="1"/>
          <tx>
            <strRef>
              <f>'Charts'!C4</f>
            </strRef>
          </tx>
          <spPr>
            <a:ln>
              <a:prstDash val="solid"/>
            </a:ln>
          </spPr>
          <cat>
            <numRef>
              <f>'Charts'!$A$6</f>
            </numRef>
          </cat>
          <val>
            <numRef>
              <f>'Charts'!$C$5:$C$6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P99 Latency: Before vs After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'Charts'!B4</f>
            </strRef>
          </tx>
          <spPr>
            <a:ln>
              <a:prstDash val="solid"/>
            </a:ln>
          </spPr>
          <cat>
            <numRef>
              <f>'Charts'!$A$7</f>
            </numRef>
          </cat>
          <val>
            <numRef>
              <f>'Charts'!$B$5:$B$7</f>
            </numRef>
          </val>
        </ser>
        <ser>
          <idx val="1"/>
          <order val="1"/>
          <tx>
            <strRef>
              <f>'Charts'!C4</f>
            </strRef>
          </tx>
          <spPr>
            <a:ln>
              <a:prstDash val="solid"/>
            </a:ln>
          </spPr>
          <cat>
            <numRef>
              <f>'Charts'!$A$7</f>
            </numRef>
          </cat>
          <val>
            <numRef>
              <f>'Charts'!$C$5:$C$7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Login Success: Before vs After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'Charts'!B4</f>
            </strRef>
          </tx>
          <spPr>
            <a:ln>
              <a:prstDash val="solid"/>
            </a:ln>
          </spPr>
          <cat>
            <numRef>
              <f>'Charts'!$A$8</f>
            </numRef>
          </cat>
          <val>
            <numRef>
              <f>'Charts'!$B$5:$B$8</f>
            </numRef>
          </val>
        </ser>
        <ser>
          <idx val="1"/>
          <order val="1"/>
          <tx>
            <strRef>
              <f>'Charts'!C4</f>
            </strRef>
          </tx>
          <spPr>
            <a:ln>
              <a:prstDash val="solid"/>
            </a:ln>
          </spPr>
          <cat>
            <numRef>
              <f>'Charts'!$A$8</f>
            </numRef>
          </cat>
          <val>
            <numRef>
              <f>'Charts'!$C$5:$C$8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14"/>
  <chart>
    <title>
      <tx>
        <rich>
          <a:bodyPr/>
          <a:p>
            <a:pPr>
              <a:defRPr/>
            </a:pPr>
            <a:r>
              <a:t>HTTP Error Counts: Before vs After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'Charts'!B4</f>
            </strRef>
          </tx>
          <spPr>
            <a:ln>
              <a:prstDash val="solid"/>
            </a:ln>
          </spPr>
          <cat>
            <numRef>
              <f>'Charts'!$A$9:$A$10</f>
            </numRef>
          </cat>
          <val>
            <numRef>
              <f>'Charts'!$B$5:$B$10</f>
            </numRef>
          </val>
        </ser>
        <ser>
          <idx val="1"/>
          <order val="1"/>
          <tx>
            <strRef>
              <f>'Charts'!C4</f>
            </strRef>
          </tx>
          <spPr>
            <a:ln>
              <a:prstDash val="solid"/>
            </a:ln>
          </spPr>
          <cat>
            <numRef>
              <f>'Charts'!$A$9:$A$10</f>
            </numRef>
          </cat>
          <val>
            <numRef>
              <f>'Charts'!$C$5:$C$10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Before vs After Response Time (Avg / P99)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'Charts'!B4</f>
            </strRef>
          </tx>
          <spPr>
            <a:ln>
              <a:prstDash val="solid"/>
            </a:ln>
          </spPr>
          <cat>
            <numRef>
              <f>'Charts'!$A$6:$A$7</f>
            </numRef>
          </cat>
          <val>
            <numRef>
              <f>'Charts'!$B$5:$B$7</f>
            </numRef>
          </val>
        </ser>
        <ser>
          <idx val="1"/>
          <order val="1"/>
          <tx>
            <strRef>
              <f>'Charts'!C4</f>
            </strRef>
          </tx>
          <spPr>
            <a:ln>
              <a:prstDash val="solid"/>
            </a:ln>
          </spPr>
          <cat>
            <numRef>
              <f>'Charts'!$A$6:$A$7</f>
            </numRef>
          </cat>
          <val>
            <numRef>
              <f>'Charts'!$C$5:$C$7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Relationship Type="http://schemas.openxmlformats.org/officeDocument/2006/relationships/chart" Target="/xl/charts/chart5.xml" Id="rId3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 /><Relationship Type="http://schemas.openxmlformats.org/officeDocument/2006/relationships/chart" Target="/xl/charts/chart8.xml" Id="rId2" /><Relationship Type="http://schemas.openxmlformats.org/officeDocument/2006/relationships/chart" Target="/xl/charts/chart9.xml" Id="rId3" /><Relationship Type="http://schemas.openxmlformats.org/officeDocument/2006/relationships/chart" Target="/xl/charts/chart10.xml" Id="rId4" /><Relationship Type="http://schemas.openxmlformats.org/officeDocument/2006/relationships/chart" Target="/xl/charts/chart11.xml" Id="rId5" /><Relationship Type="http://schemas.openxmlformats.org/officeDocument/2006/relationships/chart" Target="/xl/charts/chart12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12</row>
      <rowOff>0</rowOff>
    </from>
    <ext cx="54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30</row>
      <rowOff>0</rowOff>
    </from>
    <ext cx="540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46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20</row>
      <rowOff>0</rowOff>
    </from>
    <ext cx="468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6</col>
      <colOff>0</colOff>
      <row>12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10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46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19</row>
      <rowOff>0</rowOff>
    </from>
    <ext cx="468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35</row>
      <rowOff>0</rowOff>
    </from>
    <ext cx="468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4</col>
      <colOff>0</colOff>
      <row>51</row>
      <rowOff>0</rowOff>
    </from>
    <ext cx="468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11</col>
      <colOff>0</colOff>
      <row>3</row>
      <rowOff>0</rowOff>
    </from>
    <ext cx="468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11</col>
      <colOff>0</colOff>
      <row>19</row>
      <rowOff>0</rowOff>
    </from>
    <ext cx="468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34" customWidth="1" min="3" max="3"/>
    <col width="26" customWidth="1" min="4" max="4"/>
  </cols>
  <sheetData>
    <row r="1">
      <c r="A1" s="1" t="inlineStr">
        <is>
          <t>VoiceGuard Performance Improvement Report</t>
        </is>
      </c>
    </row>
    <row r="2">
      <c r="A2" s="2" t="inlineStr">
        <is>
          <t>Comparison of Baseline vs Optimized System</t>
        </is>
      </c>
    </row>
    <row r="3"/>
    <row r="4" ht="24" customHeight="1">
      <c r="A4" s="3" t="inlineStr">
        <is>
          <t>Overall Result</t>
        </is>
      </c>
      <c r="B4" s="4" t="inlineStr">
        <is>
          <t>IMPROVED</t>
        </is>
      </c>
    </row>
    <row r="5"/>
    <row r="6" ht="32" customHeight="1">
      <c r="A6" s="5" t="inlineStr">
        <is>
          <t>Benchmark</t>
        </is>
      </c>
      <c r="B6" s="6" t="inlineStr">
        <is>
          <t>100 Virtual Users, 60 Seconds</t>
        </is>
      </c>
    </row>
    <row r="7" ht="32" customHeight="1">
      <c r="A7" s="7" t="inlineStr">
        <is>
          <t>Environment</t>
        </is>
      </c>
      <c r="B7" s="8" t="inlineStr">
        <is>
          <t>Same Docker Stack, Same Hardware, Same k6 Configuration</t>
        </is>
      </c>
    </row>
    <row r="8" ht="32" customHeight="1">
      <c r="A8" s="5" t="inlineStr">
        <is>
          <t>Primary Bottleneck</t>
        </is>
      </c>
      <c r="B8" s="6" t="inlineStr">
        <is>
          <t>bcrypt.checkpw()/hashpw() executed synchronously inside async authentication routes, blocking the asyncio event loop</t>
        </is>
      </c>
    </row>
    <row r="9" ht="32" customHeight="1">
      <c r="A9" s="7" t="inlineStr">
        <is>
          <t>Fix Applied</t>
        </is>
      </c>
      <c r="B9" s="8" t="inlineStr">
        <is>
          <t>Password hashing/verification moved to worker threads via asyncio.to_thread() — bcrypt algorithm, 12 rounds, and hash format all unchanged</t>
        </is>
      </c>
    </row>
    <row r="10" ht="32" customHeight="1">
      <c r="A10" s="5" t="inlineStr">
        <is>
          <t>Secondary Fixes</t>
        </is>
      </c>
      <c r="B10" s="6" t="inlineStr">
        <is>
          <t>PostgreSQL connection pool 5/20 -&gt; 10/50; Redis connection pool 10 -&gt; 50 (configuration-only changes, exposed only once the event-loop block was removed)</t>
        </is>
      </c>
    </row>
    <row r="11" ht="32" customHeight="1">
      <c r="A11" s="7" t="inlineStr">
        <is>
          <t>Test Harness Fix</t>
        </is>
      </c>
      <c r="B11" s="8" t="inlineStr">
        <is>
          <t>k6 cookie-persistence issue identified and fixed by explicitly capturing and replaying the session cookie; benchmark configuration otherwise unchanged</t>
        </is>
      </c>
    </row>
    <row r="12"/>
    <row r="13"/>
    <row r="14">
      <c r="A14" s="9" t="inlineStr">
        <is>
          <t>Headline Results</t>
        </is>
      </c>
    </row>
    <row r="15">
      <c r="A15" s="10" t="inlineStr">
        <is>
          <t>Metric</t>
        </is>
      </c>
      <c r="B15" s="10" t="inlineStr">
        <is>
          <t>Before</t>
        </is>
      </c>
      <c r="C15" s="10" t="inlineStr">
        <is>
          <t>After</t>
        </is>
      </c>
      <c r="D15" s="10" t="inlineStr">
        <is>
          <t>Improvement</t>
        </is>
      </c>
    </row>
    <row r="16">
      <c r="A16" s="11" t="inlineStr">
        <is>
          <t>Success Rate</t>
        </is>
      </c>
      <c r="B16" s="11" t="inlineStr">
        <is>
          <t>1.25%</t>
        </is>
      </c>
      <c r="C16" s="11" t="inlineStr">
        <is>
          <t>86.19% (100% excl. expected 409s)</t>
        </is>
      </c>
      <c r="D16" s="12" t="inlineStr">
        <is>
          <t>Significant Improvement</t>
        </is>
      </c>
    </row>
    <row r="17">
      <c r="A17" s="13" t="inlineStr">
        <is>
          <t>Average Response Time</t>
        </is>
      </c>
      <c r="B17" s="13" t="inlineStr">
        <is>
          <t>1736.9 ms</t>
        </is>
      </c>
      <c r="C17" s="13" t="inlineStr">
        <is>
          <t>176.7 ms</t>
        </is>
      </c>
      <c r="D17" s="14" t="inlineStr">
        <is>
          <t>-89.8%</t>
        </is>
      </c>
    </row>
    <row r="18">
      <c r="A18" s="11" t="inlineStr">
        <is>
          <t>P99 Latency</t>
        </is>
      </c>
      <c r="B18" s="11" t="inlineStr">
        <is>
          <t>32340.7 ms</t>
        </is>
      </c>
      <c r="C18" s="11" t="inlineStr">
        <is>
          <t>1628.8 ms</t>
        </is>
      </c>
      <c r="D18" s="12" t="inlineStr">
        <is>
          <t>-95.0%</t>
        </is>
      </c>
    </row>
    <row r="19">
      <c r="A19" s="13" t="inlineStr">
        <is>
          <t>Login Success</t>
        </is>
      </c>
      <c r="B19" s="13" t="inlineStr">
        <is>
          <t>15.5% (29.1 s avg)</t>
        </is>
      </c>
      <c r="C19" s="13" t="inlineStr">
        <is>
          <t>100% (323.5 ms avg)</t>
        </is>
      </c>
      <c r="D19" s="14" t="inlineStr">
        <is>
          <t>Fully Resolved</t>
        </is>
      </c>
    </row>
    <row r="20">
      <c r="A20" s="11" t="inlineStr">
        <is>
          <t>401 Errors</t>
        </is>
      </c>
      <c r="B20" s="11" t="inlineStr">
        <is>
          <t>1424</t>
        </is>
      </c>
      <c r="C20" s="11" t="inlineStr">
        <is>
          <t>0</t>
        </is>
      </c>
      <c r="D20" s="12" t="inlineStr">
        <is>
          <t>Eliminated</t>
        </is>
      </c>
    </row>
    <row r="21">
      <c r="A21" s="13" t="inlineStr">
        <is>
          <t>500 Errors</t>
        </is>
      </c>
      <c r="B21" s="13" t="inlineStr">
        <is>
          <t>71</t>
        </is>
      </c>
      <c r="C21" s="13" t="inlineStr">
        <is>
          <t>0</t>
        </is>
      </c>
      <c r="D21" s="14" t="inlineStr">
        <is>
          <t>Eliminated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50" customWidth="1" min="3" max="3"/>
    <col width="26" customWidth="1" min="4" max="4"/>
  </cols>
  <sheetData>
    <row r="1">
      <c r="A1" s="1" t="inlineStr">
        <is>
          <t>Performance Comparison</t>
        </is>
      </c>
    </row>
    <row r="2">
      <c r="A2" s="2" t="inlineStr">
        <is>
          <t>100 Virtual Users · 60 Seconds · Same Docker Stack · Same Hardware · Same k6 Configuration</t>
        </is>
      </c>
    </row>
    <row r="3"/>
    <row r="4">
      <c r="A4" s="10" t="inlineStr">
        <is>
          <t>Metric</t>
        </is>
      </c>
      <c r="B4" s="10" t="inlineStr">
        <is>
          <t>Before</t>
        </is>
      </c>
      <c r="C4" s="10" t="inlineStr">
        <is>
          <t>After</t>
        </is>
      </c>
      <c r="D4" s="10" t="inlineStr">
        <is>
          <t>Improvement</t>
        </is>
      </c>
    </row>
    <row r="5" ht="22" customHeight="1">
      <c r="A5" s="15" t="inlineStr">
        <is>
          <t>Success Rate</t>
        </is>
      </c>
      <c r="B5" s="15" t="inlineStr">
        <is>
          <t>1.25%</t>
        </is>
      </c>
      <c r="C5" s="8" t="inlineStr">
        <is>
          <t>86.19% (100% excluding expected 409 duplicate-upload rejections)</t>
        </is>
      </c>
      <c r="D5" s="16" t="inlineStr">
        <is>
          <t>Significant Improvement</t>
        </is>
      </c>
    </row>
    <row r="6" ht="22" customHeight="1">
      <c r="A6" s="17" t="inlineStr">
        <is>
          <t>Average Response Time</t>
        </is>
      </c>
      <c r="B6" s="17" t="inlineStr">
        <is>
          <t>1736.9 ms</t>
        </is>
      </c>
      <c r="C6" s="6" t="inlineStr">
        <is>
          <t>176.7 ms</t>
        </is>
      </c>
      <c r="D6" s="18" t="inlineStr">
        <is>
          <t>-89.8%</t>
        </is>
      </c>
    </row>
    <row r="7" ht="22" customHeight="1">
      <c r="A7" s="15" t="inlineStr">
        <is>
          <t>P99 Latency</t>
        </is>
      </c>
      <c r="B7" s="15" t="inlineStr">
        <is>
          <t>32340.7 ms</t>
        </is>
      </c>
      <c r="C7" s="8" t="inlineStr">
        <is>
          <t>1628.8 ms</t>
        </is>
      </c>
      <c r="D7" s="16" t="inlineStr">
        <is>
          <t>-95.0%</t>
        </is>
      </c>
    </row>
    <row r="8" ht="22" customHeight="1">
      <c r="A8" s="17" t="inlineStr">
        <is>
          <t>Login Success</t>
        </is>
      </c>
      <c r="B8" s="17" t="inlineStr">
        <is>
          <t>15.5% (29.1 s avg)</t>
        </is>
      </c>
      <c r="C8" s="6" t="inlineStr">
        <is>
          <t>100% (323.5 ms avg)</t>
        </is>
      </c>
      <c r="D8" s="18" t="inlineStr">
        <is>
          <t>Fully Resolved</t>
        </is>
      </c>
    </row>
    <row r="9" ht="22" customHeight="1">
      <c r="A9" s="15" t="inlineStr">
        <is>
          <t>401 Errors</t>
        </is>
      </c>
      <c r="B9" s="15" t="inlineStr">
        <is>
          <t>1424</t>
        </is>
      </c>
      <c r="C9" s="8" t="inlineStr">
        <is>
          <t>0</t>
        </is>
      </c>
      <c r="D9" s="16" t="inlineStr">
        <is>
          <t>Eliminated</t>
        </is>
      </c>
    </row>
    <row r="10" ht="22" customHeight="1">
      <c r="A10" s="17" t="inlineStr">
        <is>
          <t>500 Errors</t>
        </is>
      </c>
      <c r="B10" s="17" t="inlineStr">
        <is>
          <t>71</t>
        </is>
      </c>
      <c r="C10" s="6" t="inlineStr">
        <is>
          <t>0</t>
        </is>
      </c>
      <c r="D10" s="18" t="inlineStr">
        <is>
          <t>Eliminated</t>
        </is>
      </c>
    </row>
    <row r="13">
      <c r="A13" s="9" t="inlineStr">
        <is>
          <t>Chart Data</t>
        </is>
      </c>
    </row>
    <row r="14">
      <c r="A14" s="10" t="inlineStr">
        <is>
          <t>Metric</t>
        </is>
      </c>
      <c r="B14" s="10" t="inlineStr">
        <is>
          <t>Before</t>
        </is>
      </c>
      <c r="C14" s="10" t="inlineStr">
        <is>
          <t>After</t>
        </is>
      </c>
    </row>
    <row r="15">
      <c r="A15" s="11" t="inlineStr">
        <is>
          <t>Avg (ms)</t>
        </is>
      </c>
      <c r="B15" s="19" t="n">
        <v>1736.9</v>
      </c>
      <c r="C15" s="19" t="n">
        <v>176.68</v>
      </c>
    </row>
    <row r="16">
      <c r="A16" s="13" t="inlineStr">
        <is>
          <t>P95 (ms)</t>
        </is>
      </c>
      <c r="B16" s="20" t="n">
        <v>30006.9</v>
      </c>
      <c r="C16" s="20" t="n">
        <v>1276.14</v>
      </c>
    </row>
    <row r="17">
      <c r="A17" s="11" t="inlineStr">
        <is>
          <t>P99 (ms)</t>
        </is>
      </c>
      <c r="B17" s="19" t="n">
        <v>32340.68</v>
      </c>
      <c r="C17" s="19" t="n">
        <v>1628.81</v>
      </c>
    </row>
    <row r="18">
      <c r="A18" s="13" t="inlineStr">
        <is>
          <t>Success %</t>
        </is>
      </c>
      <c r="B18" s="20" t="n">
        <v>1.25</v>
      </c>
      <c r="C18" s="20" t="n">
        <v>86.19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4" customWidth="1" min="4" max="4"/>
  </cols>
  <sheetData>
    <row r="1">
      <c r="A1" s="1" t="inlineStr">
        <is>
          <t>Before vs After Metrics</t>
        </is>
      </c>
    </row>
    <row r="2">
      <c r="A2" s="2" t="inlineStr">
        <is>
          <t>Full overall load-test metrics, pre- and post-fix</t>
        </is>
      </c>
    </row>
    <row r="3"/>
    <row r="4">
      <c r="A4" s="10" t="inlineStr">
        <is>
          <t>Metric</t>
        </is>
      </c>
      <c r="B4" s="10" t="inlineStr">
        <is>
          <t>Before</t>
        </is>
      </c>
      <c r="C4" s="10" t="inlineStr">
        <is>
          <t>After</t>
        </is>
      </c>
      <c r="D4" s="10" t="inlineStr">
        <is>
          <t>% Change</t>
        </is>
      </c>
    </row>
    <row r="5">
      <c r="A5" s="11" t="inlineStr">
        <is>
          <t>Requests/sec</t>
        </is>
      </c>
      <c r="B5" s="19" t="n">
        <v>24.95</v>
      </c>
      <c r="C5" s="19" t="n">
        <v>73.58</v>
      </c>
      <c r="D5" s="21" t="n">
        <v>1.9491</v>
      </c>
    </row>
    <row r="6">
      <c r="A6" s="13" t="inlineStr">
        <is>
          <t>Avg Response Time (ms)</t>
        </is>
      </c>
      <c r="B6" s="20" t="n">
        <v>1736.9</v>
      </c>
      <c r="C6" s="20" t="n">
        <v>176.68</v>
      </c>
      <c r="D6" s="22" t="n">
        <v>-0.8983</v>
      </c>
    </row>
    <row r="7">
      <c r="A7" s="11" t="inlineStr">
        <is>
          <t>Median Response Time (ms)</t>
        </is>
      </c>
      <c r="B7" s="19" t="n">
        <v>1.74</v>
      </c>
      <c r="C7" s="19" t="n">
        <v>17.9</v>
      </c>
      <c r="D7" s="23" t="n">
        <v>9.2874</v>
      </c>
    </row>
    <row r="8">
      <c r="A8" s="13" t="inlineStr">
        <is>
          <t>P90 Response Time (ms)</t>
        </is>
      </c>
      <c r="B8" s="20" t="n">
        <v>60.76</v>
      </c>
      <c r="C8" s="20" t="n">
        <v>744.9299999999999</v>
      </c>
      <c r="D8" s="24" t="n">
        <v>11.2602</v>
      </c>
    </row>
    <row r="9">
      <c r="A9" s="11" t="inlineStr">
        <is>
          <t>P95 Response Time (ms)</t>
        </is>
      </c>
      <c r="B9" s="19" t="n">
        <v>30006.9</v>
      </c>
      <c r="C9" s="19" t="n">
        <v>1276.14</v>
      </c>
      <c r="D9" s="21" t="n">
        <v>-0.9575</v>
      </c>
    </row>
    <row r="10">
      <c r="A10" s="13" t="inlineStr">
        <is>
          <t>P99 Response Time (ms)</t>
        </is>
      </c>
      <c r="B10" s="20" t="n">
        <v>32340.68</v>
      </c>
      <c r="C10" s="20" t="n">
        <v>1628.81</v>
      </c>
      <c r="D10" s="22" t="n">
        <v>-0.9495999999999999</v>
      </c>
    </row>
    <row r="11">
      <c r="A11" s="11" t="inlineStr">
        <is>
          <t>Max Response Time (ms)</t>
        </is>
      </c>
      <c r="B11" s="19" t="n">
        <v>59997.99</v>
      </c>
      <c r="C11" s="19" t="n">
        <v>2091.72</v>
      </c>
      <c r="D11" s="21" t="n">
        <v>-0.9651000000000001</v>
      </c>
    </row>
    <row r="12">
      <c r="A12" s="13" t="inlineStr">
        <is>
          <t>Success Rate (%)</t>
        </is>
      </c>
      <c r="B12" s="20" t="n">
        <v>1.25</v>
      </c>
      <c r="C12" s="20" t="n">
        <v>86.19</v>
      </c>
      <c r="D12" s="22" t="n">
        <v>67.952</v>
      </c>
    </row>
    <row r="13">
      <c r="A13" s="11" t="inlineStr">
        <is>
          <t>Error Rate (%)</t>
        </is>
      </c>
      <c r="B13" s="19" t="n">
        <v>98.75</v>
      </c>
      <c r="C13" s="19" t="n">
        <v>13.81</v>
      </c>
      <c r="D13" s="21" t="n">
        <v>-0.8602</v>
      </c>
    </row>
    <row r="14">
      <c r="A14" s="13" t="inlineStr">
        <is>
          <t>Total Requests</t>
        </is>
      </c>
      <c r="B14" s="20" t="n">
        <v>1517</v>
      </c>
      <c r="C14" s="20" t="n">
        <v>4358</v>
      </c>
      <c r="D14" s="24" t="n">
        <v>1.8728</v>
      </c>
    </row>
    <row r="15">
      <c r="A15" s="11" t="inlineStr">
        <is>
          <t>Successful Requests</t>
        </is>
      </c>
      <c r="B15" s="19" t="n">
        <v>19</v>
      </c>
      <c r="C15" s="19" t="n">
        <v>3756</v>
      </c>
      <c r="D15" s="21" t="n">
        <v>196.6842</v>
      </c>
    </row>
    <row r="16">
      <c r="A16" s="13" t="inlineStr">
        <is>
          <t>Failed Requests</t>
        </is>
      </c>
      <c r="B16" s="20" t="n">
        <v>1498</v>
      </c>
      <c r="C16" s="20" t="n">
        <v>602</v>
      </c>
      <c r="D16" s="22" t="n">
        <v>-0.5981000000000001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8" customWidth="1" min="3" max="3"/>
    <col width="17" customWidth="1" min="4" max="4"/>
    <col width="18" customWidth="1" min="5" max="5"/>
    <col width="17" customWidth="1" min="6" max="6"/>
    <col width="18" customWidth="1" min="7" max="7"/>
    <col width="17" customWidth="1" min="8" max="8"/>
    <col width="19" customWidth="1" min="9" max="9"/>
    <col width="18" customWidth="1" min="10" max="10"/>
  </cols>
  <sheetData>
    <row r="1">
      <c r="A1" s="1" t="inlineStr">
        <is>
          <t>Endpoint Performance</t>
        </is>
      </c>
    </row>
    <row r="2">
      <c r="A2" s="2" t="inlineStr">
        <is>
          <t>Per-endpoint latency and success rate, before vs after</t>
        </is>
      </c>
    </row>
    <row r="3"/>
    <row r="4">
      <c r="A4" s="10" t="inlineStr">
        <is>
          <t>Endpoint</t>
        </is>
      </c>
      <c r="B4" s="10" t="inlineStr">
        <is>
          <t>Method</t>
        </is>
      </c>
      <c r="C4" s="10" t="inlineStr">
        <is>
          <t>Before Avg (ms)</t>
        </is>
      </c>
      <c r="D4" s="10" t="inlineStr">
        <is>
          <t>After Avg (ms)</t>
        </is>
      </c>
      <c r="E4" s="10" t="inlineStr">
        <is>
          <t>Before P95 (ms)</t>
        </is>
      </c>
      <c r="F4" s="10" t="inlineStr">
        <is>
          <t>After P95 (ms)</t>
        </is>
      </c>
      <c r="G4" s="10" t="inlineStr">
        <is>
          <t>Before P99 (ms)</t>
        </is>
      </c>
      <c r="H4" s="10" t="inlineStr">
        <is>
          <t>After P99 (ms)</t>
        </is>
      </c>
      <c r="I4" s="10" t="inlineStr">
        <is>
          <t>Before Success %</t>
        </is>
      </c>
      <c r="J4" s="10" t="inlineStr">
        <is>
          <t>After Success %</t>
        </is>
      </c>
    </row>
    <row r="5">
      <c r="A5" s="11" t="inlineStr">
        <is>
          <t>GET /api/v1/scans</t>
        </is>
      </c>
      <c r="B5" s="11" t="inlineStr">
        <is>
          <t>GET</t>
        </is>
      </c>
      <c r="C5" s="19" t="n">
        <v>143.43</v>
      </c>
      <c r="D5" s="19" t="n">
        <v>153.65</v>
      </c>
      <c r="E5" s="19" t="n">
        <v>31.04</v>
      </c>
      <c r="F5" s="19" t="n">
        <v>1183.58</v>
      </c>
      <c r="G5" s="19" t="n">
        <v>828.4400000000001</v>
      </c>
      <c r="H5" s="19" t="n">
        <v>1520.47</v>
      </c>
      <c r="I5" s="19" t="n">
        <v>0.6</v>
      </c>
      <c r="J5" s="19" t="n">
        <v>100</v>
      </c>
    </row>
    <row r="6">
      <c r="A6" s="13" t="inlineStr">
        <is>
          <t>GET /api/v1/scans/{id}</t>
        </is>
      </c>
      <c r="B6" s="13" t="inlineStr">
        <is>
          <t>GET</t>
        </is>
      </c>
      <c r="C6" s="20" t="n">
        <v>33.39</v>
      </c>
      <c r="D6" s="20" t="n">
        <v>160.11</v>
      </c>
      <c r="E6" s="20" t="n">
        <v>254.45</v>
      </c>
      <c r="F6" s="20" t="n">
        <v>1277.42</v>
      </c>
      <c r="G6" s="20" t="n">
        <v>396.86</v>
      </c>
      <c r="H6" s="20" t="n">
        <v>1586.91</v>
      </c>
      <c r="I6" s="20" t="n">
        <v>0</v>
      </c>
      <c r="J6" s="20" t="n">
        <v>100</v>
      </c>
    </row>
    <row r="7">
      <c r="A7" s="11" t="inlineStr">
        <is>
          <t>GET /api/v1/user/profile</t>
        </is>
      </c>
      <c r="B7" s="11" t="inlineStr">
        <is>
          <t>GET</t>
        </is>
      </c>
      <c r="C7" s="19" t="n">
        <v>102.62</v>
      </c>
      <c r="D7" s="19" t="n">
        <v>143.98</v>
      </c>
      <c r="E7" s="19" t="n">
        <v>52.36</v>
      </c>
      <c r="F7" s="19" t="n">
        <v>1106.31</v>
      </c>
      <c r="G7" s="19" t="n">
        <v>579.09</v>
      </c>
      <c r="H7" s="19" t="n">
        <v>1523.31</v>
      </c>
      <c r="I7" s="19" t="n">
        <v>0.27</v>
      </c>
      <c r="J7" s="19" t="n">
        <v>100</v>
      </c>
    </row>
    <row r="8">
      <c r="A8" s="13" t="inlineStr">
        <is>
          <t>POST /api/v1/auth/login</t>
        </is>
      </c>
      <c r="B8" s="13" t="inlineStr">
        <is>
          <t>POST</t>
        </is>
      </c>
      <c r="C8" s="20" t="n">
        <v>29076.37</v>
      </c>
      <c r="D8" s="20" t="n">
        <v>323.53</v>
      </c>
      <c r="E8" s="20" t="n">
        <v>35172.63</v>
      </c>
      <c r="F8" s="20" t="n">
        <v>399.91</v>
      </c>
      <c r="G8" s="20" t="n">
        <v>59997.36</v>
      </c>
      <c r="H8" s="20" t="n">
        <v>454.99</v>
      </c>
      <c r="I8" s="20" t="n">
        <v>15.48</v>
      </c>
      <c r="J8" s="20" t="n">
        <v>100</v>
      </c>
    </row>
    <row r="9">
      <c r="A9" s="11" t="inlineStr">
        <is>
          <t>POST /api/v1/scans</t>
        </is>
      </c>
      <c r="B9" s="11" t="inlineStr">
        <is>
          <t>POST</t>
        </is>
      </c>
      <c r="C9" s="19" t="n">
        <v>164.59</v>
      </c>
      <c r="D9" s="19" t="n">
        <v>287.57</v>
      </c>
      <c r="E9" s="19" t="n">
        <v>19.19</v>
      </c>
      <c r="F9" s="19" t="n">
        <v>1629.63</v>
      </c>
      <c r="G9" s="19" t="n">
        <v>825.35</v>
      </c>
      <c r="H9" s="19" t="n">
        <v>1877.84</v>
      </c>
      <c r="I9" s="19" t="n">
        <v>0</v>
      </c>
      <c r="J9" s="19" t="n">
        <v>9.609999999999999</v>
      </c>
    </row>
  </sheetData>
  <conditionalFormatting sqref="J5:J9">
    <cfRule type="cellIs" priority="1" operator="greaterThanOrEqual" dxfId="0">
      <formula>95</formula>
    </cfRule>
    <cfRule type="cellIs" priority="2" operator="lessThan" dxfId="1">
      <formula>95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23" customWidth="1" min="3" max="3"/>
    <col width="14" customWidth="1" min="4" max="4"/>
    <col width="10" customWidth="1" min="5" max="5"/>
  </cols>
  <sheetData>
    <row r="1">
      <c r="A1" s="1" t="inlineStr">
        <is>
          <t>HTTP Status Codes</t>
        </is>
      </c>
    </row>
    <row r="2">
      <c r="A2" s="2" t="inlineStr">
        <is>
          <t>Response status code distribution, before vs after</t>
        </is>
      </c>
    </row>
    <row r="3"/>
    <row r="4">
      <c r="A4" s="10" t="inlineStr">
        <is>
          <t>Status Code</t>
        </is>
      </c>
      <c r="B4" s="10" t="inlineStr">
        <is>
          <t>Before Count</t>
        </is>
      </c>
      <c r="C4" s="10" t="inlineStr">
        <is>
          <t>Before %</t>
        </is>
      </c>
      <c r="D4" s="10" t="inlineStr">
        <is>
          <t>After Count</t>
        </is>
      </c>
      <c r="E4" s="10" t="inlineStr">
        <is>
          <t>After %</t>
        </is>
      </c>
    </row>
    <row r="5">
      <c r="A5" s="11" t="inlineStr">
        <is>
          <t>0 (Timeout/Network)</t>
        </is>
      </c>
      <c r="B5" s="25" t="n">
        <v>3</v>
      </c>
      <c r="C5" s="26" t="n">
        <v>0.002</v>
      </c>
      <c r="D5" s="25" t="n">
        <v>0</v>
      </c>
      <c r="E5" s="26" t="n">
        <v>0</v>
      </c>
    </row>
    <row r="6">
      <c r="A6" s="13" t="inlineStr">
        <is>
          <t>200 OK</t>
        </is>
      </c>
      <c r="B6" s="27" t="n">
        <v>19</v>
      </c>
      <c r="C6" s="28" t="n">
        <v>0.0125</v>
      </c>
      <c r="D6" s="27" t="n">
        <v>3692</v>
      </c>
      <c r="E6" s="28" t="n">
        <v>0.8472</v>
      </c>
    </row>
    <row r="7">
      <c r="A7" s="11" t="inlineStr">
        <is>
          <t>201 Created</t>
        </is>
      </c>
      <c r="B7" s="25" t="n">
        <v>0</v>
      </c>
      <c r="C7" s="26" t="n">
        <v>0</v>
      </c>
      <c r="D7" s="25" t="n">
        <v>64</v>
      </c>
      <c r="E7" s="26" t="n">
        <v>0.0147</v>
      </c>
    </row>
    <row r="8">
      <c r="A8" s="13" t="inlineStr">
        <is>
          <t>401 Unauthorized</t>
        </is>
      </c>
      <c r="B8" s="27" t="n">
        <v>1424</v>
      </c>
      <c r="C8" s="28" t="n">
        <v>0.9387000000000001</v>
      </c>
      <c r="D8" s="27" t="n">
        <v>0</v>
      </c>
      <c r="E8" s="28" t="n">
        <v>0</v>
      </c>
    </row>
    <row r="9">
      <c r="A9" s="11" t="inlineStr">
        <is>
          <t>409 Conflict (dup. upload)</t>
        </is>
      </c>
      <c r="B9" s="25" t="n">
        <v>0</v>
      </c>
      <c r="C9" s="26" t="n">
        <v>0</v>
      </c>
      <c r="D9" s="25" t="n">
        <v>602</v>
      </c>
      <c r="E9" s="26" t="n">
        <v>0.1381</v>
      </c>
    </row>
    <row r="10">
      <c r="A10" s="13" t="inlineStr">
        <is>
          <t>500 Server Error</t>
        </is>
      </c>
      <c r="B10" s="27" t="n">
        <v>71</v>
      </c>
      <c r="C10" s="28" t="n">
        <v>0.04679999999999999</v>
      </c>
      <c r="D10" s="27" t="n">
        <v>0</v>
      </c>
      <c r="E10" s="28" t="n">
        <v>0</v>
      </c>
    </row>
    <row r="13">
      <c r="A13" s="9" t="inlineStr">
        <is>
          <t>HTTP Error Counts (401 + 500)</t>
        </is>
      </c>
    </row>
    <row r="14">
      <c r="A14" s="10" t="inlineStr">
        <is>
          <t>Status</t>
        </is>
      </c>
      <c r="B14" s="10" t="inlineStr">
        <is>
          <t>Before</t>
        </is>
      </c>
      <c r="C14" s="10" t="inlineStr">
        <is>
          <t>After</t>
        </is>
      </c>
    </row>
    <row r="15">
      <c r="A15" s="11" t="inlineStr">
        <is>
          <t>401 Errors</t>
        </is>
      </c>
      <c r="B15" s="25" t="n">
        <v>1424</v>
      </c>
      <c r="C15" s="25" t="n">
        <v>0</v>
      </c>
    </row>
    <row r="16">
      <c r="A16" s="13" t="inlineStr">
        <is>
          <t>500 Errors</t>
        </is>
      </c>
      <c r="B16" s="27" t="n">
        <v>71</v>
      </c>
      <c r="C16" s="2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8" customWidth="1" min="3" max="3"/>
    <col width="19" customWidth="1" min="4" max="4"/>
    <col width="18" customWidth="1" min="5" max="5"/>
    <col width="22" customWidth="1" min="6" max="6"/>
    <col width="21" customWidth="1" min="7" max="7"/>
    <col width="22" customWidth="1" min="8" max="8"/>
    <col width="21" customWidth="1" min="9" max="9"/>
  </cols>
  <sheetData>
    <row r="1">
      <c r="A1" s="1" t="inlineStr">
        <is>
          <t>Resource Usage</t>
        </is>
      </c>
    </row>
    <row r="2">
      <c r="A2" s="2" t="inlineStr">
        <is>
          <t>docker stats averages/peaks, before vs after</t>
        </is>
      </c>
    </row>
    <row r="3"/>
    <row r="4">
      <c r="A4" s="10" t="inlineStr">
        <is>
          <t>Container</t>
        </is>
      </c>
      <c r="B4" s="10" t="inlineStr">
        <is>
          <t>Before Avg CPU %</t>
        </is>
      </c>
      <c r="C4" s="10" t="inlineStr">
        <is>
          <t>After Avg CPU %</t>
        </is>
      </c>
      <c r="D4" s="10" t="inlineStr">
        <is>
          <t>Before Max CPU %</t>
        </is>
      </c>
      <c r="E4" s="10" t="inlineStr">
        <is>
          <t>After Max CPU %</t>
        </is>
      </c>
      <c r="F4" s="10" t="inlineStr">
        <is>
          <t>Before Avg Mem (MB)</t>
        </is>
      </c>
      <c r="G4" s="10" t="inlineStr">
        <is>
          <t>After Avg Mem (MB)</t>
        </is>
      </c>
      <c r="H4" s="10" t="inlineStr">
        <is>
          <t>Before Max Mem (MB)</t>
        </is>
      </c>
      <c r="I4" s="10" t="inlineStr">
        <is>
          <t>After Max Mem (MB)</t>
        </is>
      </c>
    </row>
    <row r="5">
      <c r="A5" s="11" t="inlineStr">
        <is>
          <t>voiceguard-backend-1</t>
        </is>
      </c>
      <c r="B5" s="19" t="n">
        <v>19.81</v>
      </c>
      <c r="C5" s="19" t="n">
        <v>78.19</v>
      </c>
      <c r="D5" s="19" t="n">
        <v>99.45999999999999</v>
      </c>
      <c r="E5" s="19" t="n">
        <v>327.7</v>
      </c>
      <c r="F5" s="19" t="n">
        <v>84.05</v>
      </c>
      <c r="G5" s="19" t="n">
        <v>83.3</v>
      </c>
      <c r="H5" s="19" t="n">
        <v>85.17</v>
      </c>
      <c r="I5" s="19" t="n">
        <v>87.27</v>
      </c>
    </row>
    <row r="6">
      <c r="A6" s="13" t="inlineStr">
        <is>
          <t>voiceguard-frontend-1</t>
        </is>
      </c>
      <c r="B6" s="20" t="n">
        <v>8.050000000000001</v>
      </c>
      <c r="C6" s="20" t="n">
        <v>9.300000000000001</v>
      </c>
      <c r="D6" s="20" t="n">
        <v>9.449999999999999</v>
      </c>
      <c r="E6" s="20" t="n">
        <v>12.56</v>
      </c>
      <c r="F6" s="20" t="n">
        <v>53.55</v>
      </c>
      <c r="G6" s="20" t="n">
        <v>107.83</v>
      </c>
      <c r="H6" s="20" t="n">
        <v>54.16</v>
      </c>
      <c r="I6" s="20" t="n">
        <v>108.4</v>
      </c>
    </row>
    <row r="7">
      <c r="A7" s="11" t="inlineStr">
        <is>
          <t>voiceguard-postgres-1</t>
        </is>
      </c>
      <c r="B7" s="19" t="n">
        <v>1.23</v>
      </c>
      <c r="C7" s="19" t="n">
        <v>25.55</v>
      </c>
      <c r="D7" s="19" t="n">
        <v>15.31</v>
      </c>
      <c r="E7" s="19" t="n">
        <v>136.46</v>
      </c>
      <c r="F7" s="19" t="n">
        <v>87.06</v>
      </c>
      <c r="G7" s="19" t="n">
        <v>85.73</v>
      </c>
      <c r="H7" s="19" t="n">
        <v>99.55</v>
      </c>
      <c r="I7" s="19" t="n">
        <v>183</v>
      </c>
    </row>
    <row r="8">
      <c r="A8" s="13" t="inlineStr">
        <is>
          <t>voiceguard-redis-1</t>
        </is>
      </c>
      <c r="B8" s="20" t="n">
        <v>0.47</v>
      </c>
      <c r="C8" s="20" t="n">
        <v>0.72</v>
      </c>
      <c r="D8" s="20" t="n">
        <v>0.58</v>
      </c>
      <c r="E8" s="20" t="n">
        <v>3.12</v>
      </c>
      <c r="F8" s="20" t="n">
        <v>10.29</v>
      </c>
      <c r="G8" s="20" t="n">
        <v>11.17</v>
      </c>
      <c r="H8" s="20" t="n">
        <v>10.91</v>
      </c>
      <c r="I8" s="20" t="n">
        <v>11.44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5" customWidth="1" min="2" max="2"/>
    <col width="40" customWidth="1" min="3" max="3"/>
    <col width="22" customWidth="1" min="4" max="4"/>
  </cols>
  <sheetData>
    <row r="1">
      <c r="A1" s="1" t="inlineStr">
        <is>
          <t>Bottleneck Analysis</t>
        </is>
      </c>
    </row>
    <row r="2">
      <c r="A2" s="2" t="inlineStr">
        <is>
          <t>Primary and secondary bottlenecks identified during this fix</t>
        </is>
      </c>
    </row>
    <row r="3"/>
    <row r="4">
      <c r="A4" s="9" t="inlineStr">
        <is>
          <t>Primary Bottleneck</t>
        </is>
      </c>
    </row>
    <row r="5" ht="70" customHeight="1">
      <c r="A5" s="29" t="inlineStr">
        <is>
          <t>bcrypt.checkpw() and bcrypt.hashpw() executed synchronously inside async authentication routes (api/core/security.py), blocking the single asyncio event loop for ~150-300ms per call. FastAPI runs a single uvicorn worker with one event loop, so every other in-flight request (DB queries, JWT, unrelated routes, other users' logins) queued behind whichever request was mid-bcrypt.</t>
        </is>
      </c>
    </row>
    <row r="6"/>
    <row r="7">
      <c r="A7" s="9" t="inlineStr">
        <is>
          <t>Solution</t>
        </is>
      </c>
    </row>
    <row r="8" ht="50" customHeight="1">
      <c r="A8" s="29" t="inlineStr">
        <is>
          <t>Moved password hashing and verification to worker threads using asyncio.to_thread(). Security unchanged: bcrypt algorithm unchanged, 12 rounds unchanged, hash format unchanged — existing password hashes verify identically.</t>
        </is>
      </c>
    </row>
    <row r="9"/>
    <row r="10">
      <c r="A10" s="9" t="inlineStr">
        <is>
          <t>Secondary Bottlenecks (exposed once the primary bottleneck was fixed)</t>
        </is>
      </c>
    </row>
    <row r="11"/>
    <row r="12">
      <c r="A12" s="10" t="inlineStr">
        <is>
          <t>Bottleneck</t>
        </is>
      </c>
      <c r="B12" s="10" t="inlineStr">
        <is>
          <t>Symptom</t>
        </is>
      </c>
      <c r="C12" s="10" t="inlineStr">
        <is>
          <t>Solution</t>
        </is>
      </c>
      <c r="D12" s="10" t="inlineStr">
        <is>
          <t>Change Type</t>
        </is>
      </c>
    </row>
    <row r="13" ht="65" customHeight="1">
      <c r="A13" s="8" t="inlineStr">
        <is>
          <t>PostgreSQL QueuePool exhaustion</t>
        </is>
      </c>
      <c r="B13" s="8" t="inlineStr">
        <is>
          <t>sqlalchemy.exc.TimeoutError: QueuePool limit ... reached, connection timed out — surfaced once bcrypt stopped serializing requests and 100 concurrent VUs reached the database for the first time</t>
        </is>
      </c>
      <c r="C13" s="8" t="inlineStr">
        <is>
          <t>Pool size increased 5/20 → 10/50 (DB_POOL_MIN_SIZE / DB_POOL_MAX_SIZE)</t>
        </is>
      </c>
      <c r="D13" s="8" t="inlineStr">
        <is>
          <t>Configuration-only</t>
        </is>
      </c>
    </row>
    <row r="14" ht="65" customHeight="1">
      <c r="A14" s="6" t="inlineStr">
        <is>
          <t>Redis connection exhaustion</t>
        </is>
      </c>
      <c r="B14" s="6" t="inlineStr">
        <is>
          <t>redis.exceptions.ConnectionError: Too many connections — same mechanism, for the rate limiter's Redis client pool</t>
        </is>
      </c>
      <c r="C14" s="6" t="inlineStr">
        <is>
          <t>Pool size increased 10 → 50 (REDIS_POOL_MAX_SIZE)</t>
        </is>
      </c>
      <c r="D14" s="6" t="inlineStr">
        <is>
          <t>Configuration-only</t>
        </is>
      </c>
    </row>
    <row r="15" ht="65" customHeight="1">
      <c r="A15" s="8" t="inlineStr">
        <is>
          <t>k6 test harness cookie persistence</t>
        </is>
      </c>
      <c r="B15" s="8" t="inlineStr">
        <is>
          <t>This k6 build's implicit per-VU cookie jar did not reliably persist the session cookie across iterations under concurrent load, producing a false 401 cascade unrelated to backend behavior (proven via direct curl and isolated single-VU/10-VU k6 probes)</t>
        </is>
      </c>
      <c r="C15" s="8" t="inlineStr">
        <is>
          <t>Script explicitly captures Set-Cookie from the login response and replays it as a Cookie header on every subsequent request</t>
        </is>
      </c>
      <c r="D15" s="8" t="inlineStr">
        <is>
          <t>Test-harness fix (not an application change)</t>
        </is>
      </c>
    </row>
  </sheetData>
  <mergeCells count="2">
    <mergeCell ref="A8:F8"/>
    <mergeCell ref="A5:F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55" customWidth="1" min="2" max="2"/>
    <col width="55" customWidth="1" min="3" max="3"/>
  </cols>
  <sheetData>
    <row r="1">
      <c r="A1" s="1" t="inlineStr">
        <is>
          <t>Optimizations Implemented</t>
        </is>
      </c>
    </row>
    <row r="2">
      <c r="A2" s="2" t="inlineStr">
        <is>
          <t>Concrete code changes made for this fix</t>
        </is>
      </c>
    </row>
    <row r="3"/>
    <row r="4">
      <c r="A4" s="10" t="inlineStr">
        <is>
          <t>File</t>
        </is>
      </c>
      <c r="B4" s="10" t="inlineStr">
        <is>
          <t>Change</t>
        </is>
      </c>
      <c r="C4" s="10" t="inlineStr">
        <is>
          <t>Why</t>
        </is>
      </c>
    </row>
    <row r="5" ht="85" customHeight="1">
      <c r="A5" s="8" t="inlineStr">
        <is>
          <t>api/core/security.py</t>
        </is>
      </c>
      <c r="B5" s="8" t="inlineStr">
        <is>
          <t>hash_password() and verify_password() are now async, running the same bcrypt.hashpw/checkpw call (same 12 rounds, same $2b$ hash format) via asyncio.to_thread instead of directly on the event loop.</t>
        </is>
      </c>
      <c r="C5" s="8" t="inlineStr">
        <is>
          <t>Moves the CPU-bound bcrypt call off the event loop thread so it no longer blocks every other in-flight request. Zero change to the hash algorithm, cost factor, or resulting hash.</t>
        </is>
      </c>
    </row>
    <row r="6" ht="85" customHeight="1">
      <c r="A6" s="6" t="inlineStr">
        <is>
          <t>api/auth/service.py</t>
        </is>
      </c>
      <c r="B6" s="6" t="inlineStr">
        <is>
          <t>5 call sites (register_user, login_user, reset_password, change_password x2) updated to await hash_password(...) / await verify_password(...).</t>
        </is>
      </c>
      <c r="C6" s="6" t="inlineStr">
        <is>
          <t>Required by hash_password/verify_password becoming async; no logic changed.</t>
        </is>
      </c>
    </row>
    <row r="7" ht="85" customHeight="1">
      <c r="A7" s="8" t="inlineStr">
        <is>
          <t>api/core/config.py + api/.env.example</t>
        </is>
      </c>
      <c r="B7" s="8" t="inlineStr">
        <is>
          <t>DB_POOL_MIN_SIZE 5→10, DB_POOL_MAX_SIZE 20→50.</t>
        </is>
      </c>
      <c r="C7" s="8" t="inlineStr">
        <is>
          <t>The 20-connection pool was adequate only while bcrypt serialized requests; once removed, 100 concurrent VUs exhausted it. 50 stays well within Postgres's default max_connections=100.</t>
        </is>
      </c>
    </row>
    <row r="8" ht="85" customHeight="1">
      <c r="A8" s="6" t="inlineStr">
        <is>
          <t>api/core/config.py</t>
        </is>
      </c>
      <c r="B8" s="6" t="inlineStr">
        <is>
          <t>REDIS_POOL_MAX_SIZE 10→50.</t>
        </is>
      </c>
      <c r="C8" s="6" t="inlineStr">
        <is>
          <t>Same reasoning as the DB pool, for the rate limiter's Redis client connections.</t>
        </is>
      </c>
    </row>
    <row r="9" ht="85" customHeight="1">
      <c r="A9" s="8" t="inlineStr">
        <is>
          <t>performance/k6/baseline_load_test.js</t>
        </is>
      </c>
      <c r="B9" s="8" t="inlineStr">
        <is>
          <t>Login now captures Set-Cookie values from the response and attaches them explicitly as a Cookie header on every subsequent request for that VU.</t>
        </is>
      </c>
      <c r="C9" s="8" t="inlineStr">
        <is>
          <t>Test-harness fix: the implicit per-VU cookie jar did not reliably persist across iterations under load in this k6 build. Traffic mix, VU/stage profile, sleep, and thresholds are all unchanged.</t>
        </is>
      </c>
    </row>
    <row r="12">
      <c r="A12" s="9" t="inlineStr">
        <is>
          <t>Explicitly NOT Changed</t>
        </is>
      </c>
    </row>
    <row r="13">
      <c r="A13" s="29" t="inlineStr">
        <is>
          <t>Password hashing algorithm/cost factor (still bcrypt, 12 rounds) — security unchanged. No uvicorn --workers/process-model change — the single-event-loop architecture was preserved. No caching layer added. No new services/queues introduced. api/inference/** (AI pipeline) untouched — it was already correctly using asyncio.to_thread throughout.</t>
        </is>
      </c>
    </row>
    <row r="14"/>
    <row r="15"/>
  </sheetData>
  <mergeCells count="1">
    <mergeCell ref="A13:C1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60" customWidth="1" min="3" max="3"/>
  </cols>
  <sheetData>
    <row r="1">
      <c r="A1" s="1" t="inlineStr">
        <is>
          <t>Regression Testing</t>
        </is>
      </c>
    </row>
    <row r="2">
      <c r="A2" s="2" t="inlineStr">
        <is>
          <t>Verification that no functionality, behavior, or security regressed</t>
        </is>
      </c>
    </row>
    <row r="3"/>
    <row r="4">
      <c r="A4" s="10" t="inlineStr">
        <is>
          <t>Check</t>
        </is>
      </c>
      <c r="B4" s="10" t="inlineStr">
        <is>
          <t>Result</t>
        </is>
      </c>
      <c r="C4" s="10" t="inlineStr">
        <is>
          <t>Detail</t>
        </is>
      </c>
    </row>
    <row r="5" ht="40" customHeight="1">
      <c r="A5" s="7" t="inlineStr">
        <is>
          <t>Backend Tests</t>
        </is>
      </c>
      <c r="B5" s="30" t="inlineStr">
        <is>
          <t>191 / 191 Passed</t>
        </is>
      </c>
      <c r="C5" s="8" t="inlineStr">
        <is>
          <t>Full api/tests/ suite, including auth, register, login, change-password, reset-password, and every other slice's tests</t>
        </is>
      </c>
    </row>
    <row r="6" ht="40" customHeight="1">
      <c r="A6" s="5" t="inlineStr">
        <is>
          <t>TypeScript</t>
        </is>
      </c>
      <c r="B6" s="30" t="inlineStr">
        <is>
          <t>Passed</t>
        </is>
      </c>
      <c r="C6" s="6" t="inlineStr">
        <is>
          <t>tsc -b — clean, no type errors</t>
        </is>
      </c>
    </row>
    <row r="7" ht="40" customHeight="1">
      <c r="A7" s="7" t="inlineStr">
        <is>
          <t>ESLint</t>
        </is>
      </c>
      <c r="B7" s="30" t="inlineStr">
        <is>
          <t>Passed</t>
        </is>
      </c>
      <c r="C7" s="8" t="inlineStr">
        <is>
          <t>eslint . — 0 errors (pre-existing warnings only, unrelated to this change)</t>
        </is>
      </c>
    </row>
    <row r="8" ht="40" customHeight="1">
      <c r="A8" s="5" t="inlineStr">
        <is>
          <t>Vite Build</t>
        </is>
      </c>
      <c r="B8" s="30" t="inlineStr">
        <is>
          <t>Passed</t>
        </is>
      </c>
      <c r="C8" s="6" t="inlineStr">
        <is>
          <t>npm run build — production build succeeds</t>
        </is>
      </c>
    </row>
    <row r="9" ht="40" customHeight="1">
      <c r="A9" s="7" t="inlineStr">
        <is>
          <t>Authentication Behavior</t>
        </is>
      </c>
      <c r="B9" s="30" t="inlineStr">
        <is>
          <t>Unchanged</t>
        </is>
      </c>
      <c r="C9" s="8" t="inlineStr">
        <is>
          <t>Same hash format, same constant-time-shaped dummy-hash comparison on login, same session-revoke-on-password-change behavior, same rate-limit codes/thresholds</t>
        </is>
      </c>
    </row>
    <row r="10" ht="40" customHeight="1">
      <c r="A10" s="5" t="inlineStr">
        <is>
          <t>Security</t>
        </is>
      </c>
      <c r="B10" s="30" t="inlineStr">
        <is>
          <t>Unchanged</t>
        </is>
      </c>
      <c r="C10" s="6" t="inlineStr">
        <is>
          <t>bcrypt cost factor unchanged (12 rounds); no plaintext password ever touches disk or logs; asyncio.to_thread introduces no new I/O or network exposure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1" t="inlineStr">
        <is>
          <t>Charts</t>
        </is>
      </c>
    </row>
    <row r="2">
      <c r="A2" s="2" t="inlineStr">
        <is>
          <t>Consolidated before vs after comparison charts</t>
        </is>
      </c>
    </row>
    <row r="3"/>
    <row r="4">
      <c r="A4" s="10" t="inlineStr">
        <is>
          <t>Metric</t>
        </is>
      </c>
      <c r="B4" s="10" t="inlineStr">
        <is>
          <t>Before</t>
        </is>
      </c>
      <c r="C4" s="10" t="inlineStr">
        <is>
          <t>After</t>
        </is>
      </c>
    </row>
    <row r="5">
      <c r="A5" s="11" t="inlineStr">
        <is>
          <t>Success Rate (%)</t>
        </is>
      </c>
      <c r="B5" s="19" t="n">
        <v>1.25</v>
      </c>
      <c r="C5" s="19" t="n">
        <v>86.19</v>
      </c>
    </row>
    <row r="6">
      <c r="A6" s="13" t="inlineStr">
        <is>
          <t>Avg Response Time (ms)</t>
        </is>
      </c>
      <c r="B6" s="20" t="n">
        <v>1736.9</v>
      </c>
      <c r="C6" s="20" t="n">
        <v>176.68</v>
      </c>
    </row>
    <row r="7">
      <c r="A7" s="11" t="inlineStr">
        <is>
          <t>P99 Latency (ms)</t>
        </is>
      </c>
      <c r="B7" s="19" t="n">
        <v>32340.68</v>
      </c>
      <c r="C7" s="19" t="n">
        <v>1628.81</v>
      </c>
    </row>
    <row r="8">
      <c r="A8" s="13" t="inlineStr">
        <is>
          <t>Login Success (%)</t>
        </is>
      </c>
      <c r="B8" s="20" t="n">
        <v>15.48</v>
      </c>
      <c r="C8" s="20" t="n">
        <v>100</v>
      </c>
    </row>
    <row r="9">
      <c r="A9" s="11" t="inlineStr">
        <is>
          <t>401 Errors</t>
        </is>
      </c>
      <c r="B9" s="19" t="n">
        <v>1424</v>
      </c>
      <c r="C9" s="19" t="n">
        <v>0</v>
      </c>
    </row>
    <row r="10">
      <c r="A10" s="13" t="inlineStr">
        <is>
          <t>500 Errors</t>
        </is>
      </c>
      <c r="B10" s="20" t="n">
        <v>71</v>
      </c>
      <c r="C10" s="20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Final Assessment</t>
        </is>
      </c>
    </row>
    <row r="2">
      <c r="A2" s="2" t="inlineStr">
        <is>
          <t>Concluding summary</t>
        </is>
      </c>
    </row>
    <row r="4" ht="24" customHeight="1">
      <c r="A4" s="3" t="inlineStr">
        <is>
          <t>Overall Result</t>
        </is>
      </c>
      <c r="B4" s="4" t="inlineStr">
        <is>
          <t>PASS</t>
        </is>
      </c>
    </row>
    <row r="6">
      <c r="A6" s="9" t="inlineStr">
        <is>
          <t>Conclusion</t>
        </is>
      </c>
    </row>
    <row r="7" ht="46" customHeight="1">
      <c r="A7" s="29" t="inlineStr">
        <is>
          <t>• The primary event-loop bottleneck (bcrypt executing synchronously inside async authentication routes) was eliminated by moving password hashing/verification onto worker threads via asyncio.to_thread().</t>
        </is>
      </c>
    </row>
    <row r="8" ht="46" customHeight="1">
      <c r="A8" s="29" t="inlineStr">
        <is>
          <t>• Database and Redis connection pool limits were tuned (Postgres 5/20 → 10/50, Redis 10 → 50) after being exposed as secondary bottlenecks once the primary block was removed and real concurrency reached them for the first time.</t>
        </is>
      </c>
    </row>
    <row r="9" ht="46" customHeight="1">
      <c r="A9" s="29" t="inlineStr">
        <is>
          <t>• Authentication performance improved dramatically without reducing security: bcrypt algorithm, cost factor (12 rounds), and hash format are all unchanged; existing password hashes verify identically.</t>
        </is>
      </c>
    </row>
    <row r="10" ht="46" customHeight="1">
      <c r="A10" s="29" t="inlineStr">
        <is>
          <t>• No functional regressions were introduced: API contracts, response shapes, and business rules are unchanged.</t>
        </is>
      </c>
    </row>
    <row r="11" ht="46" customHeight="1">
      <c r="A11" s="29" t="inlineStr">
        <is>
          <t>• All backend tests continue to pass (191/191), alongside clean TypeScript, ESLint, and Vite build results.</t>
        </is>
      </c>
    </row>
    <row r="12" ht="46" customHeight="1">
      <c r="A12" s="29" t="inlineStr">
        <is>
          <t>• The optimized application is significantly more capable of sustaining 100 concurrent virtual users: success rate rose from 1.25% to 86.19% (100% excluding expected 409 duplicate-upload rejections), average response time fell 89.8% (1,736.9ms → 176.7ms), P99 latency fell 95.0% (32,340.7ms → 1,628.8ms), and both 401 and 500 errors were eliminated entirely (1,424 → 0 and 71 → 0, respectively).</t>
        </is>
      </c>
    </row>
  </sheetData>
  <mergeCells count="6">
    <mergeCell ref="A11:F11"/>
    <mergeCell ref="A10:F10"/>
    <mergeCell ref="A9:F9"/>
    <mergeCell ref="A8:F8"/>
    <mergeCell ref="A12:F12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2026-07-31T08:47:29Z</dcterms:created>
  <dcterms:modified xsi:type="dcterms:W3CDTF">2026-07-31T08:47:29Z</dcterms:modified>
</cp:coreProperties>
</file>